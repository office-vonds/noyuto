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経理\2024年経費VONDS\"/>
    </mc:Choice>
  </mc:AlternateContent>
  <xr:revisionPtr revIDLastSave="0" documentId="13_ncr:1_{F02AB259-F797-42B4-9257-331D695CD926}" xr6:coauthVersionLast="47" xr6:coauthVersionMax="47" xr10:uidLastSave="{00000000-0000-0000-0000-000000000000}"/>
  <bookViews>
    <workbookView xWindow="-120" yWindow="-120" windowWidth="29040" windowHeight="15720" activeTab="5" xr2:uid="{BB9CFEF9-384B-459B-A575-828C3DF1D621}"/>
  </bookViews>
  <sheets>
    <sheet name="一覧" sheetId="3" r:id="rId1"/>
    <sheet name="2020" sheetId="1" r:id="rId2"/>
    <sheet name="2021" sheetId="2" r:id="rId3"/>
    <sheet name="2022" sheetId="4" r:id="rId4"/>
    <sheet name="2023" sheetId="5" r:id="rId5"/>
    <sheet name="202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5" i="3" l="1"/>
  <c r="O4" i="3"/>
  <c r="O3" i="3"/>
</calcChain>
</file>

<file path=xl/sharedStrings.xml><?xml version="1.0" encoding="utf-8"?>
<sst xmlns="http://schemas.openxmlformats.org/spreadsheetml/2006/main" count="467" uniqueCount="218">
  <si>
    <t>1月</t>
    <rPh sb="1" eb="2">
      <t>ツキ</t>
    </rPh>
    <phoneticPr fontId="1"/>
  </si>
  <si>
    <t>2月</t>
  </si>
  <si>
    <t>3月</t>
  </si>
  <si>
    <t>4月</t>
  </si>
  <si>
    <t>5月</t>
  </si>
  <si>
    <t>6月</t>
  </si>
  <si>
    <t>7月</t>
  </si>
  <si>
    <t>入金日：4月30日
金額：55000
請求先：(株)富士光トモエ館
請求日：4月21日</t>
    <rPh sb="0" eb="2">
      <t>ニュウキン</t>
    </rPh>
    <rPh sb="2" eb="3">
      <t>ビ</t>
    </rPh>
    <rPh sb="5" eb="6">
      <t>ツキ</t>
    </rPh>
    <rPh sb="8" eb="9">
      <t>ニチ</t>
    </rPh>
    <rPh sb="10" eb="12">
      <t>キンガク</t>
    </rPh>
    <rPh sb="19" eb="21">
      <t>セイキュウ</t>
    </rPh>
    <rPh sb="21" eb="22">
      <t>サキ</t>
    </rPh>
    <rPh sb="23" eb="26">
      <t>カブ</t>
    </rPh>
    <rPh sb="26" eb="28">
      <t>フジ</t>
    </rPh>
    <rPh sb="28" eb="29">
      <t>ヒカリ</t>
    </rPh>
    <rPh sb="32" eb="33">
      <t>ヤカタ</t>
    </rPh>
    <rPh sb="34" eb="36">
      <t>セイキュウ</t>
    </rPh>
    <rPh sb="36" eb="37">
      <t>ビ</t>
    </rPh>
    <rPh sb="39" eb="40">
      <t>ツキ</t>
    </rPh>
    <rPh sb="42" eb="43">
      <t>ニチ</t>
    </rPh>
    <phoneticPr fontId="1"/>
  </si>
  <si>
    <t>入金日：1月15日
入金額：219340
請求先：(株)武田広告社
請求日：1月2日</t>
    <rPh sb="0" eb="2">
      <t>ニュウキン</t>
    </rPh>
    <rPh sb="2" eb="3">
      <t>ビ</t>
    </rPh>
    <rPh sb="5" eb="6">
      <t>ツキ</t>
    </rPh>
    <rPh sb="8" eb="9">
      <t>ニチ</t>
    </rPh>
    <rPh sb="10" eb="11">
      <t>ニュウ</t>
    </rPh>
    <rPh sb="11" eb="13">
      <t>キンガク</t>
    </rPh>
    <rPh sb="21" eb="23">
      <t>セイキュウ</t>
    </rPh>
    <rPh sb="23" eb="24">
      <t>サキ</t>
    </rPh>
    <rPh sb="25" eb="28">
      <t>カブ</t>
    </rPh>
    <rPh sb="28" eb="33">
      <t>タケダコウコクシャ</t>
    </rPh>
    <rPh sb="34" eb="36">
      <t>セイキュウ</t>
    </rPh>
    <rPh sb="36" eb="37">
      <t>ビ</t>
    </rPh>
    <rPh sb="39" eb="40">
      <t>ツキ</t>
    </rPh>
    <rPh sb="41" eb="42">
      <t>ニチ</t>
    </rPh>
    <phoneticPr fontId="1"/>
  </si>
  <si>
    <t>入金日：1月15日
入金額：55000
請求先：（有）飯島ツリーサービス
請求日：1月15日</t>
    <rPh sb="0" eb="3">
      <t>ニュウキンビ</t>
    </rPh>
    <rPh sb="5" eb="6">
      <t>ツキ</t>
    </rPh>
    <rPh sb="8" eb="9">
      <t>ニチ</t>
    </rPh>
    <rPh sb="11" eb="13">
      <t>キンガク</t>
    </rPh>
    <rPh sb="20" eb="22">
      <t>セイキュウ</t>
    </rPh>
    <rPh sb="22" eb="23">
      <t>サキ</t>
    </rPh>
    <rPh sb="27" eb="29">
      <t>イイジマ</t>
    </rPh>
    <rPh sb="37" eb="39">
      <t>セイキュウ</t>
    </rPh>
    <rPh sb="39" eb="40">
      <t>ビ</t>
    </rPh>
    <rPh sb="42" eb="43">
      <t>ツキ</t>
    </rPh>
    <rPh sb="45" eb="46">
      <t>ニチ</t>
    </rPh>
    <phoneticPr fontId="1"/>
  </si>
  <si>
    <t>入金日：1月26日
入金額：5000
請求先：(株)ディーアッシュ
請求日：1月2日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1" eb="42">
      <t>ニチ</t>
    </rPh>
    <phoneticPr fontId="1"/>
  </si>
  <si>
    <t>入金日：2月6日
入金額：132000
請求先：(株)富士光トモエ館
請求日：1月24日</t>
    <rPh sb="0" eb="2">
      <t>ニュウキン</t>
    </rPh>
    <rPh sb="2" eb="3">
      <t>ビ</t>
    </rPh>
    <rPh sb="5" eb="6">
      <t>ツキ</t>
    </rPh>
    <rPh sb="7" eb="8">
      <t>ニチ</t>
    </rPh>
    <rPh sb="10" eb="12">
      <t>キンガク</t>
    </rPh>
    <rPh sb="20" eb="22">
      <t>セイキュウ</t>
    </rPh>
    <rPh sb="22" eb="23">
      <t>サキ</t>
    </rPh>
    <rPh sb="24" eb="27">
      <t>カブ</t>
    </rPh>
    <rPh sb="27" eb="29">
      <t>フジ</t>
    </rPh>
    <rPh sb="29" eb="30">
      <t>ヒカリ</t>
    </rPh>
    <rPh sb="33" eb="34">
      <t>ヤカタ</t>
    </rPh>
    <rPh sb="35" eb="37">
      <t>セイキュウ</t>
    </rPh>
    <rPh sb="37" eb="38">
      <t>ビ</t>
    </rPh>
    <rPh sb="40" eb="41">
      <t>ツキ</t>
    </rPh>
    <rPh sb="43" eb="44">
      <t>ニチ</t>
    </rPh>
    <phoneticPr fontId="1"/>
  </si>
  <si>
    <t>入金日：2月14日
入金額：220000
請求先：(株)武田広告社
請求日：2月6日</t>
    <rPh sb="0" eb="2">
      <t>ニュウキン</t>
    </rPh>
    <rPh sb="2" eb="3">
      <t>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28" eb="33">
      <t>タケダコウコクシャ</t>
    </rPh>
    <rPh sb="34" eb="36">
      <t>セイキュウ</t>
    </rPh>
    <rPh sb="36" eb="37">
      <t>ビ</t>
    </rPh>
    <rPh sb="39" eb="40">
      <t>ツキ</t>
    </rPh>
    <rPh sb="41" eb="42">
      <t>ニチ</t>
    </rPh>
    <phoneticPr fontId="1"/>
  </si>
  <si>
    <t>入金日：2月25日
入金額：5000
請求先：(株)ディーアッシュ
請求日：2月6日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1" eb="42">
      <t>ニチ</t>
    </rPh>
    <phoneticPr fontId="1"/>
  </si>
  <si>
    <t>入金日：2月21日
入金額：55000
請求先：(株)富士光トモエ館
請求日：2月15日</t>
    <rPh sb="0" eb="2">
      <t>ニュウキン</t>
    </rPh>
    <rPh sb="2" eb="3">
      <t>ビ</t>
    </rPh>
    <rPh sb="5" eb="6">
      <t>ツキ</t>
    </rPh>
    <rPh sb="8" eb="9">
      <t>ニチ</t>
    </rPh>
    <rPh sb="11" eb="13">
      <t>キンガク</t>
    </rPh>
    <rPh sb="20" eb="22">
      <t>セイキュウ</t>
    </rPh>
    <rPh sb="22" eb="23">
      <t>サキ</t>
    </rPh>
    <rPh sb="24" eb="27">
      <t>カブ</t>
    </rPh>
    <rPh sb="27" eb="29">
      <t>フジ</t>
    </rPh>
    <rPh sb="29" eb="30">
      <t>ヒカリ</t>
    </rPh>
    <rPh sb="33" eb="34">
      <t>ヤカタ</t>
    </rPh>
    <rPh sb="35" eb="37">
      <t>セイキュウ</t>
    </rPh>
    <rPh sb="37" eb="38">
      <t>ビ</t>
    </rPh>
    <rPh sb="40" eb="41">
      <t>ツキ</t>
    </rPh>
    <rPh sb="43" eb="44">
      <t>ニチ</t>
    </rPh>
    <phoneticPr fontId="1"/>
  </si>
  <si>
    <t>入金日：3月13日
入金額：220000
請求先：(株)武田広告社
請求日：3月3日</t>
    <rPh sb="0" eb="2">
      <t>ニュウキン</t>
    </rPh>
    <rPh sb="2" eb="3">
      <t>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28" eb="33">
      <t>タケダコウコクシャ</t>
    </rPh>
    <rPh sb="34" eb="36">
      <t>セイキュウ</t>
    </rPh>
    <rPh sb="36" eb="37">
      <t>ビ</t>
    </rPh>
    <rPh sb="39" eb="40">
      <t>ツキ</t>
    </rPh>
    <rPh sb="41" eb="42">
      <t>ニチ</t>
    </rPh>
    <phoneticPr fontId="1"/>
  </si>
  <si>
    <t>入金日：3月23日
入金額：55000
請求先：(株)富士光トモエ館
請求日：3月14日</t>
    <rPh sb="0" eb="3">
      <t>ニュウキンビ</t>
    </rPh>
    <rPh sb="5" eb="6">
      <t>ツキ</t>
    </rPh>
    <rPh sb="8" eb="9">
      <t>ニチ</t>
    </rPh>
    <rPh sb="11" eb="13">
      <t>キンガク</t>
    </rPh>
    <rPh sb="20" eb="22">
      <t>セイキュウ</t>
    </rPh>
    <rPh sb="22" eb="23">
      <t>サキ</t>
    </rPh>
    <rPh sb="24" eb="27">
      <t>カブ</t>
    </rPh>
    <rPh sb="27" eb="29">
      <t>フジ</t>
    </rPh>
    <rPh sb="29" eb="30">
      <t>ヒカリ</t>
    </rPh>
    <rPh sb="33" eb="34">
      <t>ヤカタ</t>
    </rPh>
    <rPh sb="35" eb="37">
      <t>セイキュウ</t>
    </rPh>
    <rPh sb="37" eb="38">
      <t>ビ</t>
    </rPh>
    <rPh sb="40" eb="41">
      <t>ツキ</t>
    </rPh>
    <rPh sb="43" eb="44">
      <t>ニチ</t>
    </rPh>
    <phoneticPr fontId="1"/>
  </si>
  <si>
    <t>入金日：3月31日
入金額：5000
請求先：(株)ディーアッシュ
請求日：3月3日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1" eb="42">
      <t>ニチ</t>
    </rPh>
    <phoneticPr fontId="1"/>
  </si>
  <si>
    <t>入金日：3月31日
入金額：262068
請求先：(株)A-TRUCK
請求日：3月5日</t>
    <rPh sb="0" eb="3">
      <t>ニュウキンビ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36" eb="38">
      <t>セイキュウ</t>
    </rPh>
    <rPh sb="38" eb="39">
      <t>ビ</t>
    </rPh>
    <rPh sb="41" eb="42">
      <t>ツキ</t>
    </rPh>
    <rPh sb="43" eb="44">
      <t>ニチ</t>
    </rPh>
    <phoneticPr fontId="1"/>
  </si>
  <si>
    <t>入金日：4月15日
入金額：220000
請求先：(株)武田広告社
請求日：4月1日</t>
    <rPh sb="0" eb="2">
      <t>ニュウキン</t>
    </rPh>
    <rPh sb="2" eb="3">
      <t>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28" eb="33">
      <t>タケダコウコクシャ</t>
    </rPh>
    <rPh sb="34" eb="36">
      <t>セイキュウ</t>
    </rPh>
    <rPh sb="36" eb="37">
      <t>ビ</t>
    </rPh>
    <rPh sb="39" eb="40">
      <t>ツキ</t>
    </rPh>
    <rPh sb="41" eb="42">
      <t>ニチ</t>
    </rPh>
    <phoneticPr fontId="1"/>
  </si>
  <si>
    <t>入金日：4月23日
入金額：5000
請求先：(株)ディーアッシュ
請求日：4月中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0" eb="41">
      <t>チュウ</t>
    </rPh>
    <phoneticPr fontId="1"/>
  </si>
  <si>
    <t>入金日：4月24日
入金額：255700
請求先：(株)A-TRUCK
請求日：4月6日</t>
    <rPh sb="0" eb="3">
      <t>ニュウキンビ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36" eb="38">
      <t>セイキュウ</t>
    </rPh>
    <rPh sb="38" eb="39">
      <t>ビ</t>
    </rPh>
    <rPh sb="41" eb="42">
      <t>ツキ</t>
    </rPh>
    <rPh sb="43" eb="44">
      <t>ニチ</t>
    </rPh>
    <phoneticPr fontId="1"/>
  </si>
  <si>
    <t>入金日：4月28日
入金額：2000000
請求先：(株)A-TRUCK
請求日：4月中</t>
    <rPh sb="0" eb="3">
      <t>ニュウキンビ</t>
    </rPh>
    <rPh sb="5" eb="6">
      <t>ツキ</t>
    </rPh>
    <rPh sb="8" eb="9">
      <t>ニチ</t>
    </rPh>
    <rPh sb="11" eb="13">
      <t>キンガク</t>
    </rPh>
    <rPh sb="22" eb="24">
      <t>セイキュウ</t>
    </rPh>
    <rPh sb="24" eb="25">
      <t>サキ</t>
    </rPh>
    <rPh sb="26" eb="29">
      <t>カブ</t>
    </rPh>
    <rPh sb="37" eb="39">
      <t>セイキュウ</t>
    </rPh>
    <rPh sb="39" eb="40">
      <t>ビ</t>
    </rPh>
    <rPh sb="42" eb="43">
      <t>ツキ</t>
    </rPh>
    <rPh sb="43" eb="44">
      <t>チュウ</t>
    </rPh>
    <phoneticPr fontId="1"/>
  </si>
  <si>
    <t>入金日：5月25日
入金額：304830
請求先：(株)A-TRUCK
請求日：5月6日</t>
    <rPh sb="0" eb="3">
      <t>ニュウキンビ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36" eb="38">
      <t>セイキュウ</t>
    </rPh>
    <rPh sb="38" eb="39">
      <t>ビ</t>
    </rPh>
    <rPh sb="41" eb="42">
      <t>ツキ</t>
    </rPh>
    <rPh sb="43" eb="44">
      <t>ニチ</t>
    </rPh>
    <phoneticPr fontId="1"/>
  </si>
  <si>
    <t>入金日：5月26日
入金額：55000
請求先：(株)富士光トモエ館
請求日：5月17日</t>
    <rPh sb="0" eb="2">
      <t>ニュウキン</t>
    </rPh>
    <rPh sb="2" eb="3">
      <t>ビ</t>
    </rPh>
    <rPh sb="5" eb="6">
      <t>ツキ</t>
    </rPh>
    <rPh sb="8" eb="9">
      <t>ニチ</t>
    </rPh>
    <rPh sb="11" eb="13">
      <t>キンガク</t>
    </rPh>
    <rPh sb="20" eb="22">
      <t>セイキュウ</t>
    </rPh>
    <rPh sb="22" eb="23">
      <t>サキ</t>
    </rPh>
    <rPh sb="24" eb="27">
      <t>カブ</t>
    </rPh>
    <rPh sb="27" eb="29">
      <t>フジ</t>
    </rPh>
    <rPh sb="29" eb="30">
      <t>ヒカリ</t>
    </rPh>
    <rPh sb="33" eb="34">
      <t>ヤカタ</t>
    </rPh>
    <rPh sb="35" eb="37">
      <t>セイキュウ</t>
    </rPh>
    <rPh sb="37" eb="38">
      <t>ビ</t>
    </rPh>
    <rPh sb="40" eb="41">
      <t>ツキ</t>
    </rPh>
    <rPh sb="43" eb="44">
      <t>ニチ</t>
    </rPh>
    <phoneticPr fontId="1"/>
  </si>
  <si>
    <t>入金日：5月29日
入金額：5000
請求先：(株)ディーアッシュ
請求日：5月中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0" eb="41">
      <t>チュウ</t>
    </rPh>
    <phoneticPr fontId="1"/>
  </si>
  <si>
    <t>入金日：5月29日
入金額：22000
請求先：甲斐の登美農園
請求日：2月11日</t>
    <rPh sb="0" eb="3">
      <t>ニュウキンビ</t>
    </rPh>
    <rPh sb="5" eb="6">
      <t>ツキ</t>
    </rPh>
    <rPh sb="8" eb="9">
      <t>ニチ</t>
    </rPh>
    <rPh sb="11" eb="13">
      <t>キンガク</t>
    </rPh>
    <rPh sb="20" eb="23">
      <t>セイキュウサキ</t>
    </rPh>
    <rPh sb="24" eb="26">
      <t>カイ</t>
    </rPh>
    <rPh sb="27" eb="29">
      <t>トミ</t>
    </rPh>
    <rPh sb="29" eb="31">
      <t>ノウエン</t>
    </rPh>
    <rPh sb="32" eb="35">
      <t>セイキュウビ</t>
    </rPh>
    <rPh sb="37" eb="38">
      <t>ツキ</t>
    </rPh>
    <rPh sb="40" eb="41">
      <t>ニチ</t>
    </rPh>
    <phoneticPr fontId="1"/>
  </si>
  <si>
    <t>入金日：6月24日
入金額：5000
請求先：(株)ディーアッシュ
請求日：6月中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0" eb="41">
      <t>チュウ</t>
    </rPh>
    <phoneticPr fontId="1"/>
  </si>
  <si>
    <t>入金日：6月25日
入金額：334337
請求先：(株)A-TRUCK
請求日：6月7日</t>
    <rPh sb="0" eb="3">
      <t>ニュウキンビ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36" eb="38">
      <t>セイキュウ</t>
    </rPh>
    <rPh sb="38" eb="39">
      <t>ビ</t>
    </rPh>
    <rPh sb="41" eb="42">
      <t>ツキ</t>
    </rPh>
    <rPh sb="43" eb="44">
      <t>ニチ</t>
    </rPh>
    <phoneticPr fontId="1"/>
  </si>
  <si>
    <t>入金日：7月29日
入金額：5000
請求先：(株)ディーアッシュ
請求日：7月中</t>
    <rPh sb="0" eb="3">
      <t>ニュウキンビ</t>
    </rPh>
    <rPh sb="5" eb="6">
      <t>ツキ</t>
    </rPh>
    <rPh sb="8" eb="9">
      <t>ニチ</t>
    </rPh>
    <rPh sb="11" eb="13">
      <t>キンガク</t>
    </rPh>
    <rPh sb="19" eb="22">
      <t>セイキュウサキ</t>
    </rPh>
    <rPh sb="23" eb="26">
      <t>カブ</t>
    </rPh>
    <rPh sb="34" eb="37">
      <t>セイキュウビ</t>
    </rPh>
    <rPh sb="39" eb="40">
      <t>ツキ</t>
    </rPh>
    <rPh sb="40" eb="41">
      <t>チュウ</t>
    </rPh>
    <phoneticPr fontId="1"/>
  </si>
  <si>
    <t>入金日：7月19日
入金額：187000
請求先：(株)ボストーク
請求日：7月19日</t>
    <rPh sb="0" eb="3">
      <t>ニュウキンビ</t>
    </rPh>
    <rPh sb="5" eb="6">
      <t>ツキ</t>
    </rPh>
    <rPh sb="8" eb="9">
      <t>ニチ</t>
    </rPh>
    <rPh sb="11" eb="13">
      <t>キンガク</t>
    </rPh>
    <rPh sb="21" eb="24">
      <t>セイキュウサキ</t>
    </rPh>
    <rPh sb="25" eb="28">
      <t>カブ</t>
    </rPh>
    <rPh sb="34" eb="36">
      <t>セイキュウ</t>
    </rPh>
    <rPh sb="36" eb="37">
      <t>ビ</t>
    </rPh>
    <rPh sb="39" eb="40">
      <t>ガツ</t>
    </rPh>
    <rPh sb="42" eb="43">
      <t>ニチ</t>
    </rPh>
    <phoneticPr fontId="1"/>
  </si>
  <si>
    <t>入金日：7月22日
入金額：333847
請求先：(株)A-TRUCK
請求日：7月中</t>
    <rPh sb="0" eb="3">
      <t>ニュウキンビ</t>
    </rPh>
    <rPh sb="5" eb="6">
      <t>ツキ</t>
    </rPh>
    <rPh sb="8" eb="9">
      <t>ニチ</t>
    </rPh>
    <rPh sb="11" eb="13">
      <t>キンガク</t>
    </rPh>
    <rPh sb="21" eb="23">
      <t>セイキュウ</t>
    </rPh>
    <rPh sb="23" eb="24">
      <t>サキ</t>
    </rPh>
    <rPh sb="25" eb="28">
      <t>カブ</t>
    </rPh>
    <rPh sb="36" eb="38">
      <t>セイキュウ</t>
    </rPh>
    <rPh sb="38" eb="39">
      <t>ビ</t>
    </rPh>
    <rPh sb="41" eb="42">
      <t>ツキ</t>
    </rPh>
    <rPh sb="42" eb="43">
      <t>チュウ</t>
    </rPh>
    <phoneticPr fontId="1"/>
  </si>
  <si>
    <t>2020年1月度売上：279340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</si>
  <si>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2020年2月度売上：412000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</si>
  <si>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2020年3月度売上：542068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</si>
  <si>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2020年4月度売上：2535700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</si>
  <si>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2020年5月度売上：386830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</si>
  <si>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2020年6月度売上：339337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</si>
  <si>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VONDS2020年売上一覧</t>
    <rPh sb="9" eb="10">
      <t>ネン</t>
    </rPh>
    <rPh sb="10" eb="12">
      <t>ウリアゲ</t>
    </rPh>
    <rPh sb="12" eb="14">
      <t>イチラン</t>
    </rPh>
    <phoneticPr fontId="1"/>
  </si>
  <si>
    <t>1件目</t>
    <rPh sb="1" eb="3">
      <t>ケンメ</t>
    </rPh>
    <phoneticPr fontId="1"/>
  </si>
  <si>
    <t>2件目</t>
    <rPh sb="1" eb="3">
      <t>ケンメ</t>
    </rPh>
    <phoneticPr fontId="1"/>
  </si>
  <si>
    <t>3件目</t>
    <rPh sb="1" eb="3">
      <t>ケンメ</t>
    </rPh>
    <phoneticPr fontId="1"/>
  </si>
  <si>
    <t>4件目</t>
    <rPh sb="1" eb="3">
      <t>ケンメ</t>
    </rPh>
    <phoneticPr fontId="1"/>
  </si>
  <si>
    <t>5件目</t>
    <rPh sb="1" eb="3">
      <t>ケンメ</t>
    </rPh>
    <phoneticPr fontId="1"/>
  </si>
  <si>
    <t>6件目</t>
    <rPh sb="1" eb="3">
      <t>ケンメ</t>
    </rPh>
    <phoneticPr fontId="1"/>
  </si>
  <si>
    <t>7件目</t>
    <rPh sb="1" eb="3">
      <t>ケンメ</t>
    </rPh>
    <phoneticPr fontId="1"/>
  </si>
  <si>
    <t xml:space="preserve">入金日：
入金額：
請求先：
</t>
    <rPh sb="0" eb="2">
      <t>ニュウキン</t>
    </rPh>
    <rPh sb="2" eb="3">
      <t>ビ</t>
    </rPh>
    <rPh sb="5" eb="6">
      <t>ニュウ</t>
    </rPh>
    <rPh sb="6" eb="8">
      <t>キンガク</t>
    </rPh>
    <rPh sb="10" eb="12">
      <t>セイキュウ</t>
    </rPh>
    <rPh sb="12" eb="13">
      <t>サキ</t>
    </rPh>
    <phoneticPr fontId="1"/>
  </si>
  <si>
    <t xml:space="preserve">入金日：1/25
入金額：340,663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25" eb="28">
      <t>カブシキガイシャ</t>
    </rPh>
    <phoneticPr fontId="1"/>
  </si>
  <si>
    <t xml:space="preserve">入金日：1/31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</si>
  <si>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>2021年1月度売上：345,663円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</si>
  <si>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入金日：2/25
入金額：2,536,178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3" eb="25">
      <t>セイキュウ</t>
    </rPh>
    <rPh sb="25" eb="26">
      <t>サキ</t>
    </rPh>
    <rPh sb="27" eb="30">
      <t>カブシキガイシャ</t>
    </rPh>
    <phoneticPr fontId="1"/>
  </si>
  <si>
    <t xml:space="preserve">入金日：2/25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</si>
  <si>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>2021年2月度売上：2,541,178円</t>
    <rPh sb="4" eb="5">
      <t>ネン</t>
    </rPh>
    <rPh sb="6" eb="7">
      <t>ツキ</t>
    </rPh>
    <rPh sb="7" eb="8">
      <t>ド</t>
    </rPh>
    <rPh sb="8" eb="10">
      <t>ウリアゲ</t>
    </rPh>
    <rPh sb="20" eb="21">
      <t>エン</t>
    </rPh>
    <phoneticPr fontId="1"/>
  </si>
  <si>
    <t>合計</t>
    <rPh sb="0" eb="2">
      <t>ゴウケイ</t>
    </rPh>
    <phoneticPr fontId="1"/>
  </si>
  <si>
    <t xml:space="preserve">入金日：3/17
入金額：58,300
請求先：甲府日通興行(株)
</t>
    <rPh sb="0" eb="2">
      <t>ニュウキン</t>
    </rPh>
    <rPh sb="2" eb="3">
      <t>ビ</t>
    </rPh>
    <rPh sb="9" eb="10">
      <t>ニュウ</t>
    </rPh>
    <rPh sb="10" eb="12">
      <t>キンガク</t>
    </rPh>
    <rPh sb="20" eb="22">
      <t>セイキュウ</t>
    </rPh>
    <rPh sb="22" eb="23">
      <t>サキ</t>
    </rPh>
    <rPh sb="24" eb="26">
      <t>コウフ</t>
    </rPh>
    <rPh sb="26" eb="28">
      <t>ニッツウ</t>
    </rPh>
    <rPh sb="28" eb="30">
      <t>コウギョウ</t>
    </rPh>
    <rPh sb="30" eb="33">
      <t>カブシキガイシャ</t>
    </rPh>
    <phoneticPr fontId="1"/>
  </si>
  <si>
    <t xml:space="preserve">入金日：3/25
入金額：337,047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25" eb="28">
      <t>カブシキガイシャ</t>
    </rPh>
    <phoneticPr fontId="1"/>
  </si>
  <si>
    <t xml:space="preserve">入金日：3/31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</si>
  <si>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 xml:space="preserve">入金日：4/23
入金額：350,926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</si>
  <si>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入金日：4/26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</si>
  <si>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>2021年3月度売上：400,347円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</si>
  <si>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2021年4月度売上：355,926円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</si>
  <si>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入金日：5/13
入金額：196,945
請求先：東京セキスイハイム山梨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25" eb="27">
      <t>トウキョウ</t>
    </rPh>
    <rPh sb="34" eb="36">
      <t>ヤマナシ</t>
    </rPh>
    <phoneticPr fontId="1"/>
  </si>
  <si>
    <t xml:space="preserve">入金日：5/25
入金額：328,576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</si>
  <si>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入金日：5/31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</si>
  <si>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>2021年5月度売上：530,521円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</si>
  <si>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入金日：6/21
入金額：163,249
請求先：東京セキスイハイム山梨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</si>
  <si>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入金日：6/25
入金額：334,730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</si>
  <si>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入金日：6/29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</si>
  <si>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 xml:space="preserve">入金日：7/15
入金額：160,459
請求先：東京セキスイハイム山梨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</si>
  <si>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入金日：7/21
入金額：341,620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</si>
  <si>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入金日：7/31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</si>
  <si>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>2021年6月度売上：502,979円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</si>
  <si>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2021年7月度売上：507,079円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</si>
  <si>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8月</t>
    <rPh sb="1" eb="2">
      <t>ツキ</t>
    </rPh>
    <phoneticPr fontId="1"/>
  </si>
  <si>
    <t>9月</t>
    <rPh sb="1" eb="2">
      <t>ツキ</t>
    </rPh>
    <phoneticPr fontId="1"/>
  </si>
  <si>
    <t>10月</t>
    <rPh sb="2" eb="3">
      <t>ツキ</t>
    </rPh>
    <phoneticPr fontId="1"/>
  </si>
  <si>
    <t>11月</t>
    <rPh sb="2" eb="3">
      <t>ツキ</t>
    </rPh>
    <phoneticPr fontId="1"/>
  </si>
  <si>
    <t>12月</t>
    <rPh sb="2" eb="3">
      <t>ツキ</t>
    </rPh>
    <phoneticPr fontId="1"/>
  </si>
  <si>
    <t xml:space="preserve">入金日：8/23
入金額：166,063
請求先：東京セキスイハイム山梨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</si>
  <si>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入金日：8/25
入金額：532,663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</si>
  <si>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入金日：8/30
入金額：5,000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phoneticPr fontId="1"/>
  </si>
  <si>
    <t>2021年8月度売上：703,726円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</si>
  <si>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入金日：9/24
入金額：528,906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</si>
  <si>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入金日：9/30
入金額：165,916
請求先：東京セキスイハイム山梨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</si>
  <si>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入金日：9/30
入金額：352,000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</si>
  <si>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入金日：9/30
入金額：5000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8" eb="20">
      <t>セイキュウ</t>
    </rPh>
    <rPh sb="20" eb="21">
      <t>サキ</t>
    </rPh>
    <phoneticPr fontId="1"/>
  </si>
  <si>
    <t>2021年9月度売上：1,051,822円</t>
    <rPh sb="4" eb="5">
      <t>ネン</t>
    </rPh>
    <rPh sb="6" eb="7">
      <t>ツキ</t>
    </rPh>
    <rPh sb="7" eb="8">
      <t>ド</t>
    </rPh>
    <rPh sb="8" eb="10">
      <t>ウリアゲ</t>
    </rPh>
    <rPh sb="20" eb="21">
      <t>エン</t>
    </rPh>
    <phoneticPr fontId="1"/>
  </si>
  <si>
    <t xml:space="preserve">入金日：10/13
入金額：330,000
請求先：(株)半谷経営研究所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26" eb="29">
      <t>カブシキガイシャ</t>
    </rPh>
    <rPh sb="29" eb="31">
      <t>ハンガイ</t>
    </rPh>
    <rPh sb="31" eb="33">
      <t>ケイエイ</t>
    </rPh>
    <rPh sb="33" eb="36">
      <t>ケンキュウショ</t>
    </rPh>
    <phoneticPr fontId="1"/>
  </si>
  <si>
    <t xml:space="preserve">入金日：10/25
入金額：535,910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</si>
  <si>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入金日：10/29
入金額：164,618
請求先：東京セキスイハイム山梨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</si>
  <si>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入金日：10/29
入金額：5000
請求先：(株)D-ASH
</t>
    <rPh sb="0" eb="2">
      <t>ニュウキン</t>
    </rPh>
    <rPh sb="2" eb="3">
      <t>ビ</t>
    </rPh>
    <rPh sb="10" eb="11">
      <t>ニュウ</t>
    </rPh>
    <rPh sb="11" eb="13">
      <t>キンガク</t>
    </rPh>
    <rPh sb="19" eb="21">
      <t>セイキュウ</t>
    </rPh>
    <rPh sb="21" eb="22">
      <t>サキ</t>
    </rPh>
    <phoneticPr fontId="1"/>
  </si>
  <si>
    <t>2021年10月度売上：1,035,528円</t>
    <rPh sb="4" eb="5">
      <t>ネン</t>
    </rPh>
    <rPh sb="7" eb="8">
      <t>ツキ</t>
    </rPh>
    <rPh sb="8" eb="9">
      <t>ド</t>
    </rPh>
    <rPh sb="9" eb="11">
      <t>ウリアゲ</t>
    </rPh>
    <rPh sb="21" eb="22">
      <t>エン</t>
    </rPh>
    <phoneticPr fontId="1"/>
  </si>
  <si>
    <t xml:space="preserve">入金日：11/25
入金額：535,429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</si>
  <si>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入金日：11/30
入金額：165,530
請求先：東京セキスイハイム山梨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</si>
  <si>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入金日：11/29
入金額：5000
請求先：(株)D-ASH
</t>
    <rPh sb="0" eb="2">
      <t>ニュウキン</t>
    </rPh>
    <rPh sb="2" eb="3">
      <t>ビ</t>
    </rPh>
    <rPh sb="10" eb="11">
      <t>ニュウ</t>
    </rPh>
    <rPh sb="11" eb="13">
      <t>キンガク</t>
    </rPh>
    <rPh sb="19" eb="21">
      <t>セイキュウ</t>
    </rPh>
    <rPh sb="21" eb="22">
      <t>サキ</t>
    </rPh>
    <phoneticPr fontId="1"/>
  </si>
  <si>
    <t>2021年11月度売上：705,959円</t>
    <rPh sb="4" eb="5">
      <t>ネン</t>
    </rPh>
    <rPh sb="7" eb="8">
      <t>ツキ</t>
    </rPh>
    <rPh sb="8" eb="9">
      <t>ド</t>
    </rPh>
    <rPh sb="9" eb="11">
      <t>ウリアゲ</t>
    </rPh>
    <rPh sb="19" eb="20">
      <t>エン</t>
    </rPh>
    <phoneticPr fontId="1"/>
  </si>
  <si>
    <t xml:space="preserve">入金日：12/22
入金額：6,470
請求先：農協
※保険戻り金
</t>
    <rPh sb="0" eb="2">
      <t>ニュウキン</t>
    </rPh>
    <rPh sb="2" eb="3">
      <t>ビ</t>
    </rPh>
    <rPh sb="10" eb="11">
      <t>ニュウ</t>
    </rPh>
    <rPh sb="11" eb="13">
      <t>キンガク</t>
    </rPh>
    <rPh sb="20" eb="22">
      <t>セイキュウ</t>
    </rPh>
    <rPh sb="22" eb="23">
      <t>サキ</t>
    </rPh>
    <rPh sb="24" eb="26">
      <t>ノウキョウ</t>
    </rPh>
    <rPh sb="28" eb="30">
      <t>ホケン</t>
    </rPh>
    <rPh sb="30" eb="31">
      <t>モド</t>
    </rPh>
    <rPh sb="32" eb="33">
      <t>キン</t>
    </rPh>
    <phoneticPr fontId="1"/>
  </si>
  <si>
    <t xml:space="preserve">入金日：12/24
入金額：530,537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</si>
  <si>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入金日：12/27
入金額：219,166
請求先：東京セキスイハイム山梨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</si>
  <si>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入金日：12/29
入金額：5000
請求先：(株)D-ASH
</t>
    <rPh sb="0" eb="2">
      <t>ニュウキン</t>
    </rPh>
    <rPh sb="2" eb="3">
      <t>ビ</t>
    </rPh>
    <rPh sb="10" eb="11">
      <t>ニュウ</t>
    </rPh>
    <rPh sb="11" eb="13">
      <t>キンガク</t>
    </rPh>
    <rPh sb="19" eb="21">
      <t>セイキュウ</t>
    </rPh>
    <rPh sb="21" eb="22">
      <t>サキ</t>
    </rPh>
    <phoneticPr fontId="1"/>
  </si>
  <si>
    <t>2021年12月度売上：761,173円</t>
    <rPh sb="4" eb="5">
      <t>ネン</t>
    </rPh>
    <rPh sb="7" eb="8">
      <t>ツキ</t>
    </rPh>
    <rPh sb="8" eb="9">
      <t>ド</t>
    </rPh>
    <rPh sb="9" eb="11">
      <t>ウリアゲ</t>
    </rPh>
    <rPh sb="19" eb="20">
      <t>エン</t>
    </rPh>
    <phoneticPr fontId="1"/>
  </si>
  <si>
    <t>9月</t>
    <rPh sb="1" eb="2">
      <t>ツキ</t>
    </rPh>
    <phoneticPr fontId="1"/>
  </si>
  <si>
    <t>10月</t>
    <rPh sb="2" eb="3">
      <t>ツキ</t>
    </rPh>
    <phoneticPr fontId="1"/>
  </si>
  <si>
    <t>11月</t>
    <rPh sb="2" eb="3">
      <t>ツキ</t>
    </rPh>
    <phoneticPr fontId="1"/>
  </si>
  <si>
    <t>12月</t>
    <rPh sb="2" eb="3">
      <t>ツキ</t>
    </rPh>
    <phoneticPr fontId="1"/>
  </si>
  <si>
    <t>2020年7月度売上：525847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</si>
  <si>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入金日：8/25
入金額：332,000
請求先：(株)A-TRUCK
請求日：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36" eb="38">
      <t>セイキュウ</t>
    </rPh>
    <rPh sb="38" eb="39">
      <t>ビ</t>
    </rPh>
    <phoneticPr fontId="1"/>
  </si>
  <si>
    <t>入金日：8/31
入金額：110,000
請求先：(株)ボストーク
請求日：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25" eb="28">
      <t>カブシキガイシャ</t>
    </rPh>
    <rPh sb="34" eb="36">
      <t>セイキュウ</t>
    </rPh>
    <rPh sb="36" eb="37">
      <t>ビ</t>
    </rPh>
    <phoneticPr fontId="1"/>
  </si>
  <si>
    <t>入金日：8/31
入金額：5000
請求先：(株)ディーアッシュ
請求日：</t>
    <rPh sb="0" eb="3">
      <t>ニュウキンビ</t>
    </rPh>
    <rPh sb="10" eb="12">
      <t>キンガク</t>
    </rPh>
    <rPh sb="18" eb="21">
      <t>セイキュウサキ</t>
    </rPh>
    <rPh sb="22" eb="25">
      <t>カブ</t>
    </rPh>
    <phoneticPr fontId="1"/>
  </si>
  <si>
    <t>2020年8月度売上：447000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</si>
  <si>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入金日：9/25
入金額：331,412
請求先：(株)A-TRUCK
請求日：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36" eb="38">
      <t>セイキュウ</t>
    </rPh>
    <rPh sb="38" eb="39">
      <t>ビ</t>
    </rPh>
    <phoneticPr fontId="1"/>
  </si>
  <si>
    <t>入金日：9/30
入金額：5000
請求先：(株)ディーアッシュ
請求日：</t>
    <rPh sb="0" eb="2">
      <t>ニュウキン</t>
    </rPh>
    <rPh sb="2" eb="3">
      <t>ビ</t>
    </rPh>
    <rPh sb="9" eb="10">
      <t>ニュウ</t>
    </rPh>
    <rPh sb="10" eb="12">
      <t>キンガク</t>
    </rPh>
    <rPh sb="18" eb="20">
      <t>セイキュウ</t>
    </rPh>
    <rPh sb="20" eb="21">
      <t>サキ</t>
    </rPh>
    <rPh sb="33" eb="35">
      <t>セイキュウ</t>
    </rPh>
    <rPh sb="35" eb="36">
      <t>ビ</t>
    </rPh>
    <phoneticPr fontId="1"/>
  </si>
  <si>
    <t>2020年9月度売上：336412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</si>
  <si>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入金日：10/6
入金額：12381
請求先：(株)Snap Dragon
請求日：</t>
    <rPh sb="0" eb="2">
      <t>ニュウキン</t>
    </rPh>
    <rPh sb="2" eb="3">
      <t>ビ</t>
    </rPh>
    <rPh sb="9" eb="10">
      <t>ニュウ</t>
    </rPh>
    <rPh sb="10" eb="12">
      <t>キンガク</t>
    </rPh>
    <rPh sb="19" eb="21">
      <t>セイキュウ</t>
    </rPh>
    <rPh sb="21" eb="22">
      <t>サキ</t>
    </rPh>
    <rPh sb="23" eb="26">
      <t>カブシキガイシャ</t>
    </rPh>
    <rPh sb="38" eb="40">
      <t>セイキュウ</t>
    </rPh>
    <rPh sb="40" eb="41">
      <t>ビ</t>
    </rPh>
    <phoneticPr fontId="1"/>
  </si>
  <si>
    <t>入金日：10/16
入金額：110,000
請求先：(株)ボストーク
請求日：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35" eb="37">
      <t>セイキュウ</t>
    </rPh>
    <rPh sb="37" eb="38">
      <t>ビ</t>
    </rPh>
    <phoneticPr fontId="1"/>
  </si>
  <si>
    <t>入金日：10/23
入金額：893,691
請求先：(株)A-TRUCK
請求日：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37" eb="39">
      <t>セイキュウ</t>
    </rPh>
    <rPh sb="39" eb="40">
      <t>ビ</t>
    </rPh>
    <phoneticPr fontId="1"/>
  </si>
  <si>
    <t>入金日：10/30
入金額：5000
請求先：(株)ディーアッシュ
請求日：</t>
    <rPh sb="0" eb="2">
      <t>ニュウキン</t>
    </rPh>
    <rPh sb="2" eb="3">
      <t>ビ</t>
    </rPh>
    <rPh sb="10" eb="11">
      <t>ニュウ</t>
    </rPh>
    <rPh sb="11" eb="13">
      <t>キンガク</t>
    </rPh>
    <rPh sb="19" eb="21">
      <t>セイキュウ</t>
    </rPh>
    <rPh sb="21" eb="22">
      <t>サキ</t>
    </rPh>
    <rPh sb="34" eb="36">
      <t>セイキュウ</t>
    </rPh>
    <rPh sb="36" eb="37">
      <t>ビ</t>
    </rPh>
    <phoneticPr fontId="1"/>
  </si>
  <si>
    <t>入金日：10/27
入金額：110,000
請求先：(株)ボストーク
請求日：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26" eb="29">
      <t>カブシキガイシャ</t>
    </rPh>
    <rPh sb="35" eb="37">
      <t>セイキュウ</t>
    </rPh>
    <rPh sb="37" eb="38">
      <t>ビ</t>
    </rPh>
    <phoneticPr fontId="1"/>
  </si>
  <si>
    <t>2020年10月度売上：1131072</t>
    <rPh sb="4" eb="5">
      <t>ネン</t>
    </rPh>
    <rPh sb="7" eb="8">
      <t>ツキ</t>
    </rPh>
    <rPh sb="8" eb="9">
      <t>ド</t>
    </rPh>
    <rPh sb="9" eb="11">
      <t>ウリアゲ</t>
    </rPh>
    <phoneticPr fontId="1"/>
  </si>
  <si>
    <t>入金日：11/16
入金額：4,598
請求先：ファンコミュニケーションズ（解約戻り金？不明）
請求日：</t>
    <rPh sb="0" eb="2">
      <t>ニュウキン</t>
    </rPh>
    <rPh sb="2" eb="3">
      <t>ビ</t>
    </rPh>
    <rPh sb="10" eb="11">
      <t>ニュウ</t>
    </rPh>
    <rPh sb="11" eb="13">
      <t>キンガク</t>
    </rPh>
    <rPh sb="20" eb="22">
      <t>セイキュウ</t>
    </rPh>
    <rPh sb="22" eb="23">
      <t>サキ</t>
    </rPh>
    <rPh sb="38" eb="40">
      <t>カイヤク</t>
    </rPh>
    <rPh sb="40" eb="41">
      <t>モド</t>
    </rPh>
    <rPh sb="42" eb="43">
      <t>キン</t>
    </rPh>
    <rPh sb="44" eb="46">
      <t>フメイ</t>
    </rPh>
    <rPh sb="48" eb="50">
      <t>セイキュウ</t>
    </rPh>
    <rPh sb="50" eb="51">
      <t>ビ</t>
    </rPh>
    <phoneticPr fontId="1"/>
  </si>
  <si>
    <t>入金日：11/25
入金額：336,115
請求先：(株)A-TRUCK
請求日：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37" eb="39">
      <t>セイキュウ</t>
    </rPh>
    <rPh sb="39" eb="40">
      <t>ビ</t>
    </rPh>
    <phoneticPr fontId="1"/>
  </si>
  <si>
    <t>入金日：11/30
入金額：110,000
請求先：(株)ボストーク
請求日：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35" eb="37">
      <t>セイキュウ</t>
    </rPh>
    <rPh sb="37" eb="38">
      <t>ビ</t>
    </rPh>
    <phoneticPr fontId="1"/>
  </si>
  <si>
    <t>入金日：11/30
入金額：5000
請求先：(株)ディーアッシュ
請求日：</t>
    <rPh sb="0" eb="2">
      <t>ニュウキン</t>
    </rPh>
    <rPh sb="2" eb="3">
      <t>ビ</t>
    </rPh>
    <rPh sb="10" eb="11">
      <t>ニュウ</t>
    </rPh>
    <rPh sb="11" eb="13">
      <t>キンガク</t>
    </rPh>
    <rPh sb="19" eb="21">
      <t>セイキュウ</t>
    </rPh>
    <rPh sb="21" eb="22">
      <t>サキ</t>
    </rPh>
    <rPh sb="34" eb="36">
      <t>セイキュウ</t>
    </rPh>
    <rPh sb="36" eb="37">
      <t>ビ</t>
    </rPh>
    <phoneticPr fontId="1"/>
  </si>
  <si>
    <t>2020年11月度売上：450713</t>
    <rPh sb="4" eb="5">
      <t>ネン</t>
    </rPh>
    <rPh sb="7" eb="8">
      <t>ツキ</t>
    </rPh>
    <rPh sb="8" eb="9">
      <t>ド</t>
    </rPh>
    <rPh sb="9" eb="11">
      <t>ウリアゲ</t>
    </rPh>
    <phoneticPr fontId="1"/>
  </si>
  <si>
    <t>入金日：12/25
入金額：331,201
請求先：(株)A-TRUCK
請求日：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37" eb="39">
      <t>セイキュウ</t>
    </rPh>
    <rPh sb="39" eb="40">
      <t>ビ</t>
    </rPh>
    <phoneticPr fontId="1"/>
  </si>
  <si>
    <t>入金日：12/30
入金額：5000
請求先：(株)ディーアッシュ
請求日：</t>
    <rPh sb="0" eb="2">
      <t>ニュウキン</t>
    </rPh>
    <rPh sb="2" eb="3">
      <t>ビ</t>
    </rPh>
    <rPh sb="10" eb="11">
      <t>ニュウ</t>
    </rPh>
    <rPh sb="11" eb="13">
      <t>キンガク</t>
    </rPh>
    <rPh sb="19" eb="21">
      <t>セイキュウ</t>
    </rPh>
    <rPh sb="21" eb="22">
      <t>サキ</t>
    </rPh>
    <rPh sb="34" eb="36">
      <t>セイキュウ</t>
    </rPh>
    <rPh sb="36" eb="37">
      <t>ビ</t>
    </rPh>
    <phoneticPr fontId="1"/>
  </si>
  <si>
    <t>2020年12月度売上：336201</t>
    <rPh sb="4" eb="5">
      <t>ネン</t>
    </rPh>
    <rPh sb="7" eb="8">
      <t>ツキ</t>
    </rPh>
    <rPh sb="8" eb="9">
      <t>ド</t>
    </rPh>
    <rPh sb="9" eb="11">
      <t>ウリアゲ</t>
    </rPh>
    <phoneticPr fontId="1"/>
  </si>
  <si>
    <t>2月</t>
    <rPh sb="1" eb="2">
      <t>ツキ</t>
    </rPh>
    <phoneticPr fontId="1"/>
  </si>
  <si>
    <t>3月</t>
    <rPh sb="1" eb="2">
      <t>ツキ</t>
    </rPh>
    <phoneticPr fontId="1"/>
  </si>
  <si>
    <t>4月</t>
    <rPh sb="1" eb="2">
      <t>ツキ</t>
    </rPh>
    <phoneticPr fontId="1"/>
  </si>
  <si>
    <t>5月</t>
    <rPh sb="1" eb="2">
      <t>ツキ</t>
    </rPh>
    <phoneticPr fontId="1"/>
  </si>
  <si>
    <t>6月</t>
    <rPh sb="1" eb="2">
      <t>ツキ</t>
    </rPh>
    <phoneticPr fontId="1"/>
  </si>
  <si>
    <t>7月</t>
    <rPh sb="1" eb="2">
      <t>ツキ</t>
    </rPh>
    <phoneticPr fontId="1"/>
  </si>
  <si>
    <t>年</t>
    <rPh sb="0" eb="1">
      <t>ネン</t>
    </rPh>
    <phoneticPr fontId="1"/>
  </si>
  <si>
    <t>(株)オフィスVONDS年度別売上一覧</t>
    <rPh sb="0" eb="3">
      <t>カブシキガイシャ</t>
    </rPh>
    <rPh sb="12" eb="15">
      <t>ネンドベツ</t>
    </rPh>
    <rPh sb="15" eb="17">
      <t>ウリアゲ</t>
    </rPh>
    <rPh sb="17" eb="19">
      <t>イチラン</t>
    </rPh>
    <phoneticPr fontId="1"/>
  </si>
  <si>
    <t>VONDS2021年売上一覧</t>
    <rPh sb="9" eb="10">
      <t>ネン</t>
    </rPh>
    <rPh sb="10" eb="12">
      <t>ウリアゲ</t>
    </rPh>
    <rPh sb="12" eb="14">
      <t>イチラン</t>
    </rPh>
    <phoneticPr fontId="1"/>
  </si>
  <si>
    <t>VONDS2022年売上一覧</t>
    <rPh sb="9" eb="10">
      <t>ネン</t>
    </rPh>
    <rPh sb="10" eb="12">
      <t>ウリアゲ</t>
    </rPh>
    <rPh sb="12" eb="14">
      <t>イチラン</t>
    </rPh>
    <phoneticPr fontId="1"/>
  </si>
  <si>
    <t xml:space="preserve">入金日：1/25
入金額：(株)532203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13" eb="16">
      <t>カブシキガイシャ</t>
    </rPh>
    <rPh sb="23" eb="25">
      <t>セイキュウ</t>
    </rPh>
    <rPh sb="25" eb="26">
      <t>サキ</t>
    </rPh>
    <phoneticPr fontId="1"/>
  </si>
  <si>
    <t xml:space="preserve">入金日：2/2
入金額：330000
請求先：(株)富士光トモエ館
</t>
    <rPh sb="0" eb="2">
      <t>ニュウキン</t>
    </rPh>
    <rPh sb="2" eb="3">
      <t>ビ</t>
    </rPh>
    <rPh sb="8" eb="9">
      <t>ニュウ</t>
    </rPh>
    <rPh sb="9" eb="11">
      <t>キンガク</t>
    </rPh>
    <rPh sb="19" eb="21">
      <t>セイキュウ</t>
    </rPh>
    <rPh sb="21" eb="22">
      <t>サキ</t>
    </rPh>
    <rPh sb="23" eb="26">
      <t>カブシキガイシャ</t>
    </rPh>
    <rPh sb="26" eb="28">
      <t>フジ</t>
    </rPh>
    <rPh sb="28" eb="29">
      <t>ヒカリ</t>
    </rPh>
    <rPh sb="32" eb="33">
      <t>ヤカタ</t>
    </rPh>
    <phoneticPr fontId="1"/>
  </si>
  <si>
    <t xml:space="preserve">入金日：2/25
入金額：537165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0" eb="22">
      <t>セイキュウ</t>
    </rPh>
    <rPh sb="22" eb="23">
      <t>サキ</t>
    </rPh>
    <rPh sb="24" eb="27">
      <t>カブシキガイシャ</t>
    </rPh>
    <phoneticPr fontId="1"/>
  </si>
  <si>
    <t xml:space="preserve">入金日：1/31
入金額：5000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8" eb="20">
      <t>セイキュウ</t>
    </rPh>
    <rPh sb="20" eb="21">
      <t>サキ</t>
    </rPh>
    <rPh sb="22" eb="25">
      <t>カブシキガイシャ</t>
    </rPh>
    <phoneticPr fontId="1"/>
  </si>
  <si>
    <t xml:space="preserve">入金日：2/28
入金額：5000
請求先：(株)D-ASH
</t>
    <rPh sb="0" eb="2">
      <t>ニュウキン</t>
    </rPh>
    <rPh sb="2" eb="3">
      <t>ビ</t>
    </rPh>
    <rPh sb="9" eb="10">
      <t>ニュウ</t>
    </rPh>
    <rPh sb="10" eb="12">
      <t>キンガク</t>
    </rPh>
    <rPh sb="18" eb="20">
      <t>セイキュウ</t>
    </rPh>
    <rPh sb="20" eb="21">
      <t>サキ</t>
    </rPh>
    <phoneticPr fontId="1"/>
  </si>
  <si>
    <t>2022年1月度売上：537,203円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</si>
  <si>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2022年2月度売上：872,165円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</si>
  <si>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入金日：3/25
入金額：536,531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</si>
  <si>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2022年3月度売上：536,531円</t>
    <rPh sb="4" eb="5">
      <t>ネン</t>
    </rPh>
    <rPh sb="6" eb="8">
      <t>ツキド</t>
    </rPh>
    <rPh sb="8" eb="10">
      <t>ウリアゲ</t>
    </rPh>
    <rPh sb="18" eb="19">
      <t>エン</t>
    </rPh>
    <phoneticPr fontId="1"/>
  </si>
  <si>
    <t xml:space="preserve">入金日：4/25
入金額：532,567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</si>
  <si>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2022年4月度売上：532,567円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</si>
  <si>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入金日：5/25
入金額：1,061,106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3" eb="25">
      <t>セイキュウ</t>
    </rPh>
    <rPh sb="25" eb="26">
      <t>サキ</t>
    </rPh>
    <phoneticPr fontId="1"/>
  </si>
  <si>
    <t xml:space="preserve">入金日：5/30
入金額：29,657
請求先：チュアチュンウィー
</t>
    <rPh sb="0" eb="2">
      <t>ニュウキン</t>
    </rPh>
    <rPh sb="2" eb="3">
      <t>ビ</t>
    </rPh>
    <rPh sb="9" eb="10">
      <t>ニュウ</t>
    </rPh>
    <rPh sb="10" eb="12">
      <t>キンガク</t>
    </rPh>
    <rPh sb="20" eb="22">
      <t>セイキュウ</t>
    </rPh>
    <rPh sb="22" eb="23">
      <t>サキ</t>
    </rPh>
    <phoneticPr fontId="1"/>
  </si>
  <si>
    <t>2022年5月度売上：1,090,763円</t>
    <rPh sb="4" eb="5">
      <t>ネン</t>
    </rPh>
    <rPh sb="6" eb="7">
      <t>ツキ</t>
    </rPh>
    <rPh sb="7" eb="8">
      <t>ド</t>
    </rPh>
    <rPh sb="8" eb="10">
      <t>ウリアゲ</t>
    </rPh>
    <rPh sb="20" eb="21">
      <t>エン</t>
    </rPh>
    <phoneticPr fontId="1"/>
  </si>
  <si>
    <t xml:space="preserve">入金日：6/24
入金額：842,724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</si>
  <si>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2022年6月度売上：842,724円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</si>
  <si>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入金日：7/25
入金額：793,362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</si>
  <si>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2022年7月度売上：793,362円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</si>
  <si>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入金日：8/25
入金額：868,354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</si>
  <si>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2022年8月度売上：868,354円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</si>
  <si>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入金日：9/22
入金額：839,501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</si>
  <si>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2022年9月度売上：839,501円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</si>
  <si>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入金日：10/25
入金額：842,046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</si>
  <si>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>2022年10月度売上：842,046円</t>
    <rPh sb="4" eb="5">
      <t>ネン</t>
    </rPh>
    <rPh sb="7" eb="8">
      <t>ツキ</t>
    </rPh>
    <rPh sb="8" eb="9">
      <t>ド</t>
    </rPh>
    <rPh sb="9" eb="11">
      <t>ウリアゲ</t>
    </rPh>
    <rPh sb="19" eb="20">
      <t>エン</t>
    </rPh>
    <phoneticPr fontId="1"/>
  </si>
  <si>
    <t xml:space="preserve">入金日：11/25
入金額：902,935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</si>
  <si>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>2022年11月度売上：902,935円</t>
    <rPh sb="4" eb="5">
      <t>ネン</t>
    </rPh>
    <rPh sb="7" eb="8">
      <t>ツキ</t>
    </rPh>
    <rPh sb="8" eb="9">
      <t>ド</t>
    </rPh>
    <rPh sb="9" eb="11">
      <t>ウリアゲ</t>
    </rPh>
    <rPh sb="19" eb="20">
      <t>エン</t>
    </rPh>
    <phoneticPr fontId="1"/>
  </si>
  <si>
    <t xml:space="preserve">入金日：12/23
入金額：1,020,692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4" eb="26">
      <t>セイキュウ</t>
    </rPh>
    <rPh sb="26" eb="27">
      <t>サキ</t>
    </rPh>
    <phoneticPr fontId="1"/>
  </si>
  <si>
    <t>2022年12月度売上：1,020,692円</t>
    <rPh sb="4" eb="5">
      <t>ネン</t>
    </rPh>
    <rPh sb="7" eb="8">
      <t>ツキ</t>
    </rPh>
    <rPh sb="8" eb="9">
      <t>ド</t>
    </rPh>
    <rPh sb="9" eb="11">
      <t>ウリアゲ</t>
    </rPh>
    <rPh sb="21" eb="22">
      <t>エン</t>
    </rPh>
    <phoneticPr fontId="1"/>
  </si>
  <si>
    <t xml:space="preserve">入金日：1/25
入金額：(株)830,652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13" eb="16">
      <t>カブシキガイシャ</t>
    </rPh>
    <rPh sb="24" eb="26">
      <t>セイキュウ</t>
    </rPh>
    <rPh sb="26" eb="27">
      <t>サキ</t>
    </rPh>
    <phoneticPr fontId="1"/>
  </si>
  <si>
    <t xml:space="preserve">入金日：2/24
入金額：818,309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25" eb="28">
      <t>カブシキガイシャ</t>
    </rPh>
    <phoneticPr fontId="1"/>
  </si>
  <si>
    <t xml:space="preserve">入金日：3/24
入金額：825,068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</si>
  <si>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入金日：3/28
入金額：61,600
請求先：(株)Snap-Dragon
</t>
    <rPh sb="0" eb="2">
      <t>ニュウキン</t>
    </rPh>
    <rPh sb="2" eb="3">
      <t>ビ</t>
    </rPh>
    <rPh sb="9" eb="10">
      <t>ニュウ</t>
    </rPh>
    <rPh sb="10" eb="12">
      <t>キンガク</t>
    </rPh>
    <rPh sb="20" eb="22">
      <t>セイキュウ</t>
    </rPh>
    <rPh sb="22" eb="23">
      <t>サキ</t>
    </rPh>
    <rPh sb="24" eb="27">
      <t>カブシキガイシャ</t>
    </rPh>
    <phoneticPr fontId="1"/>
  </si>
  <si>
    <t xml:space="preserve">入金日：4/25
入金額：835,484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</si>
  <si>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2023年1月度売上：830,652円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</si>
  <si>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2023年2月度売上：818,309円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</si>
  <si>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2023年3月度売上：886,668円</t>
    <rPh sb="4" eb="5">
      <t>ネン</t>
    </rPh>
    <rPh sb="6" eb="8">
      <t>ツキド</t>
    </rPh>
    <rPh sb="8" eb="10">
      <t>ウリアゲ</t>
    </rPh>
    <rPh sb="18" eb="19">
      <t>エン</t>
    </rPh>
    <phoneticPr fontId="1"/>
  </si>
  <si>
    <t>2023年4月度売上：835,484円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</si>
  <si>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入金日：5/25
入金額：864,969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</si>
  <si>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2023年5月度売上：864,969</t>
    <rPh sb="4" eb="5">
      <t>ネン</t>
    </rPh>
    <rPh sb="6" eb="7">
      <t>ツキ</t>
    </rPh>
    <rPh sb="7" eb="8">
      <t>ド</t>
    </rPh>
    <rPh sb="8" eb="10">
      <t>ウリアゲ</t>
    </rPh>
    <phoneticPr fontId="1"/>
  </si>
  <si>
    <t>2023年6月度売上：874,059</t>
    <rPh sb="4" eb="5">
      <t>ネン</t>
    </rPh>
    <rPh sb="6" eb="7">
      <t>ツキ</t>
    </rPh>
    <rPh sb="7" eb="8">
      <t>ド</t>
    </rPh>
    <rPh sb="8" eb="10">
      <t>ウリアゲ</t>
    </rPh>
    <phoneticPr fontId="1"/>
  </si>
  <si>
    <t xml:space="preserve">入金日：6/23
入金額：874,059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</si>
  <si>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2023年7月度売上：1,339,292</t>
    <rPh sb="4" eb="5">
      <t>ネン</t>
    </rPh>
    <rPh sb="6" eb="7">
      <t>ツキ</t>
    </rPh>
    <rPh sb="7" eb="8">
      <t>ド</t>
    </rPh>
    <rPh sb="8" eb="10">
      <t>ウリアゲ</t>
    </rPh>
    <phoneticPr fontId="1"/>
  </si>
  <si>
    <t xml:space="preserve">入金日：7/25
入金額：1,339,292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3" eb="25">
      <t>セイキュウ</t>
    </rPh>
    <rPh sb="25" eb="26">
      <t>サキ</t>
    </rPh>
    <phoneticPr fontId="1"/>
  </si>
  <si>
    <t>2023年8月度売上：885,899</t>
    <rPh sb="4" eb="5">
      <t>ネン</t>
    </rPh>
    <rPh sb="6" eb="7">
      <t>ツキ</t>
    </rPh>
    <rPh sb="7" eb="8">
      <t>ド</t>
    </rPh>
    <rPh sb="8" eb="10">
      <t>ウリアゲ</t>
    </rPh>
    <phoneticPr fontId="1"/>
  </si>
  <si>
    <t xml:space="preserve">入金日：8/24
入金額：885,899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</si>
  <si>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2023年9月度売上：885,063</t>
    <rPh sb="4" eb="5">
      <t>ネン</t>
    </rPh>
    <rPh sb="6" eb="7">
      <t>ツキ</t>
    </rPh>
    <rPh sb="7" eb="8">
      <t>ド</t>
    </rPh>
    <rPh sb="8" eb="10">
      <t>ウリアゲ</t>
    </rPh>
    <phoneticPr fontId="1"/>
  </si>
  <si>
    <t xml:space="preserve">入金日：9/25
入金額：885,063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</si>
  <si>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入金日：10/25
入金額：949,625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</si>
  <si>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>2023年10月度売上：949,625</t>
    <rPh sb="4" eb="5">
      <t>ネン</t>
    </rPh>
    <rPh sb="7" eb="8">
      <t>ツキ</t>
    </rPh>
    <rPh sb="8" eb="9">
      <t>ド</t>
    </rPh>
    <rPh sb="9" eb="11">
      <t>ウリアゲ</t>
    </rPh>
    <phoneticPr fontId="1"/>
  </si>
  <si>
    <t>2023年11月度売上：882,006</t>
    <rPh sb="4" eb="5">
      <t>ネン</t>
    </rPh>
    <rPh sb="7" eb="8">
      <t>ツキ</t>
    </rPh>
    <rPh sb="8" eb="9">
      <t>ド</t>
    </rPh>
    <rPh sb="9" eb="11">
      <t>ウリアゲ</t>
    </rPh>
    <phoneticPr fontId="1"/>
  </si>
  <si>
    <t xml:space="preserve">入金日：11/24
入金額：882,006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</si>
  <si>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入金日：12/25
入金額：946,065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</si>
  <si>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入金日：12/25
入金額：396,000
請求先：甲斐の國ひまわり事務所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rPh sb="26" eb="28">
      <t>カイ</t>
    </rPh>
    <rPh sb="29" eb="30">
      <t>クニ</t>
    </rPh>
    <rPh sb="34" eb="37">
      <t>ジムショ</t>
    </rPh>
    <phoneticPr fontId="1"/>
  </si>
  <si>
    <t>2023年12月度売上：1,342,065</t>
    <rPh sb="4" eb="5">
      <t>ネン</t>
    </rPh>
    <rPh sb="7" eb="8">
      <t>ツキ</t>
    </rPh>
    <rPh sb="8" eb="9">
      <t>ド</t>
    </rPh>
    <rPh sb="9" eb="11">
      <t>ウリアゲ</t>
    </rPh>
    <phoneticPr fontId="1"/>
  </si>
  <si>
    <t>VONDS2023年売上一覧</t>
    <rPh sb="9" eb="10">
      <t>ネン</t>
    </rPh>
    <rPh sb="10" eb="12">
      <t>ウリアゲ</t>
    </rPh>
    <rPh sb="12" eb="14">
      <t>イチラン</t>
    </rPh>
    <phoneticPr fontId="1"/>
  </si>
  <si>
    <t>VONDS2024年売上一覧</t>
    <rPh sb="9" eb="10">
      <t>ネン</t>
    </rPh>
    <rPh sb="10" eb="12">
      <t>ウリアゲ</t>
    </rPh>
    <rPh sb="12" eb="14">
      <t>イチラン</t>
    </rPh>
    <phoneticPr fontId="1"/>
  </si>
  <si>
    <t xml:space="preserve">入金日：1/25
入金額：869,465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</si>
  <si>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 xml:space="preserve">入金日：2/22
入金額：884,046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rPh sb="25" eb="28">
      <t>カブシキガイシャ</t>
    </rPh>
    <phoneticPr fontId="1"/>
  </si>
  <si>
    <t xml:space="preserve">入金日：3/25
入金額：963,049
請求先：(株)A-TRUCK
</t>
    <rPh sb="0" eb="2">
      <t>ニュウキン</t>
    </rPh>
    <rPh sb="2" eb="3">
      <t>ビ</t>
    </rPh>
    <rPh sb="8" eb="10">
      <t>キンガク</t>
    </rPh>
    <rPh sb="21" eb="22">
      <t>サキ</t>
    </rPh>
    <phoneticPr fontId="1"/>
  </si>
  <si>
    <t>2024年1月度売上：869,465円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</si>
  <si>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2024年2月度売上：884,046円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</si>
  <si>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>2024年3月度売上：963,049円</t>
    <rPh sb="4" eb="5">
      <t>ネン</t>
    </rPh>
    <rPh sb="6" eb="8">
      <t>ツキド</t>
    </rPh>
    <rPh sb="8" eb="10">
      <t>ウリアゲ</t>
    </rPh>
    <rPh sb="18" eb="19">
      <t>エン</t>
    </rPh>
    <phoneticPr fontId="1"/>
  </si>
  <si>
    <t xml:space="preserve">入金日：4/25
入金額：968,732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</si>
  <si>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2024年4月度売上：968,732円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</si>
  <si>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入金日：5/24
入金額：882,870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</si>
  <si>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2024年5月度売上：882,870円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</si>
  <si>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入金日：6/25
入金額：1,290,245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3" eb="25">
      <t>セイキュウ</t>
    </rPh>
    <rPh sb="25" eb="26">
      <t>サキ</t>
    </rPh>
    <phoneticPr fontId="1"/>
  </si>
  <si>
    <t>2024年6月度売上：1,290,245円</t>
    <rPh sb="4" eb="5">
      <t>ネン</t>
    </rPh>
    <rPh sb="6" eb="7">
      <t>ツキ</t>
    </rPh>
    <rPh sb="7" eb="8">
      <t>ド</t>
    </rPh>
    <rPh sb="8" eb="10">
      <t>ウリアゲ</t>
    </rPh>
    <rPh sb="20" eb="21">
      <t>エン</t>
    </rPh>
    <phoneticPr fontId="1"/>
  </si>
  <si>
    <t xml:space="preserve">入金日：7/25
入金額：953,147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</si>
  <si>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2024年7月度売上：953,147円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</si>
  <si>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入金日：8/22
入金額：878,853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1" eb="23">
      <t>セイキュウ</t>
    </rPh>
    <rPh sb="23" eb="24">
      <t>サキ</t>
    </rPh>
    <phoneticPr fontId="1"/>
  </si>
  <si>
    <t>2024年8月度売上：878,853円</t>
    <rPh sb="4" eb="5">
      <t>ネン</t>
    </rPh>
    <rPh sb="6" eb="7">
      <t>ツキ</t>
    </rPh>
    <rPh sb="7" eb="8">
      <t>ド</t>
    </rPh>
    <rPh sb="8" eb="10">
      <t>ウリアゲ</t>
    </rPh>
    <rPh sb="18" eb="19">
      <t>エン</t>
    </rPh>
    <phoneticPr fontId="1"/>
  </si>
  <si>
    <t xml:space="preserve">入金日：9/25
入金額：1,002,053
請求先：(株)A-TRUCK
</t>
    <rPh sb="0" eb="2">
      <t>ニュウキン</t>
    </rPh>
    <rPh sb="2" eb="3">
      <t>ビ</t>
    </rPh>
    <rPh sb="9" eb="10">
      <t>ニュウ</t>
    </rPh>
    <rPh sb="10" eb="12">
      <t>キンガク</t>
    </rPh>
    <rPh sb="23" eb="25">
      <t>セイキュウ</t>
    </rPh>
    <rPh sb="25" eb="26">
      <t>サキ</t>
    </rPh>
    <phoneticPr fontId="1"/>
  </si>
  <si>
    <t>2024年9月度売上：1,002,053円</t>
    <rPh sb="4" eb="5">
      <t>ネン</t>
    </rPh>
    <rPh sb="6" eb="7">
      <t>ツキ</t>
    </rPh>
    <rPh sb="7" eb="8">
      <t>ド</t>
    </rPh>
    <rPh sb="8" eb="10">
      <t>ウリアゲ</t>
    </rPh>
    <rPh sb="20" eb="21">
      <t>エン</t>
    </rPh>
    <phoneticPr fontId="1"/>
  </si>
  <si>
    <t xml:space="preserve">入金日：10/25
入金額：935,788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</si>
  <si>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>2024年10月度売上：935,788円</t>
    <rPh sb="4" eb="5">
      <t>ネン</t>
    </rPh>
    <rPh sb="7" eb="8">
      <t>ツキ</t>
    </rPh>
    <rPh sb="8" eb="9">
      <t>ド</t>
    </rPh>
    <rPh sb="9" eb="11">
      <t>ウリアゲ</t>
    </rPh>
    <rPh sb="19" eb="20">
      <t>エン</t>
    </rPh>
    <phoneticPr fontId="1"/>
  </si>
  <si>
    <t xml:space="preserve">入金日：11/22
入金額：875,909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</si>
  <si>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>2024年11月度売上：875,909円</t>
    <rPh sb="4" eb="5">
      <t>ネン</t>
    </rPh>
    <rPh sb="7" eb="8">
      <t>ツキ</t>
    </rPh>
    <rPh sb="8" eb="9">
      <t>ド</t>
    </rPh>
    <rPh sb="9" eb="11">
      <t>ウリアゲ</t>
    </rPh>
    <rPh sb="19" eb="20">
      <t>エン</t>
    </rPh>
    <phoneticPr fontId="1"/>
  </si>
  <si>
    <t xml:space="preserve">入金日：12/25
入金額：952,404
請求先：(株)A-TRUCK
</t>
    <rPh sb="0" eb="2">
      <t>ニュウキン</t>
    </rPh>
    <rPh sb="2" eb="3">
      <t>ビ</t>
    </rPh>
    <rPh sb="10" eb="11">
      <t>ニュウ</t>
    </rPh>
    <rPh sb="11" eb="13">
      <t>キンガク</t>
    </rPh>
    <rPh sb="22" eb="24">
      <t>セイキュウ</t>
    </rPh>
    <rPh sb="24" eb="25">
      <t>サキ</t>
    </rPh>
    <phoneticPr fontId="1"/>
  </si>
  <si>
    <t xml:space="preserve">入金日：12/30
入金額：66,000
請求先：甲斐の國ひまわり事務所
</t>
    <rPh sb="0" eb="2">
      <t>ニュウキン</t>
    </rPh>
    <rPh sb="2" eb="3">
      <t>ビ</t>
    </rPh>
    <rPh sb="10" eb="11">
      <t>ニュウ</t>
    </rPh>
    <rPh sb="11" eb="13">
      <t>キンガク</t>
    </rPh>
    <rPh sb="21" eb="23">
      <t>セイキュウ</t>
    </rPh>
    <rPh sb="23" eb="24">
      <t>サキ</t>
    </rPh>
    <rPh sb="25" eb="27">
      <t>カイ</t>
    </rPh>
    <rPh sb="28" eb="29">
      <t>クニ</t>
    </rPh>
    <rPh sb="33" eb="36">
      <t>ジムショ</t>
    </rPh>
    <phoneticPr fontId="1"/>
  </si>
  <si>
    <t>2024年12月度売上：1,018,404円</t>
    <rPh sb="4" eb="5">
      <t>ネン</t>
    </rPh>
    <rPh sb="7" eb="8">
      <t>ツキ</t>
    </rPh>
    <rPh sb="8" eb="9">
      <t>ド</t>
    </rPh>
    <rPh sb="9" eb="11">
      <t>ウリアゲ</t>
    </rPh>
    <rPh sb="21" eb="22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</si>
</sst>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38" fontId="0" fillId="0" borderId="1" xfId="1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A489-6423-4E51-AB5C-34804F585658}">
  <sheetPr>
    <pageSetUpPr fitToPage="1"/>
  </sheetPr>
  <dimension ref="B1:O5"/>
  <sheetViews>
    <sheetView workbookViewId="0">
      <selection activeCell="C5" sqref="C5"/>
    </sheetView>
  </sheetViews>
  <sheetFormatPr defaultRowHeight="18.75" x14ac:dyDescent="0.4"/>
  <cols>
    <col min="2" max="2" width="9" style="2"/>
    <col min="3" max="15" width="14.125" customWidth="1"/>
  </cols>
  <sheetData>
    <row r="1" spans="2:15" ht="32.25" customHeight="1" x14ac:dyDescent="0.4">
      <c r="B1" s="15" t="s">
        <v>134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2:15" ht="28.5" customHeight="1" x14ac:dyDescent="0.4">
      <c r="B2" s="5" t="s">
        <v>133</v>
      </c>
      <c r="C2" s="5" t="s">
        <v>0</v>
      </c>
      <c r="D2" s="5" t="s">
        <v>127</v>
      </c>
      <c r="E2" s="5" t="s">
        <v>128</v>
      </c>
      <c r="F2" s="5" t="s">
        <v>129</v>
      </c>
      <c r="G2" s="5" t="s">
        <v>130</v>
      </c>
      <c r="H2" s="5" t="s">
        <v>131</v>
      </c>
      <c r="I2" s="5" t="s">
        <v>132</v>
      </c>
      <c r="J2" s="5" t="s">
        <v>73</v>
      </c>
      <c r="K2" s="5" t="s">
        <v>74</v>
      </c>
      <c r="L2" s="5" t="s">
        <v>75</v>
      </c>
      <c r="M2" s="5" t="s">
        <v>76</v>
      </c>
      <c r="N2" s="5" t="s">
        <v>77</v>
      </c>
      <c r="O2" s="5" t="s">
        <v>53</v>
      </c>
    </row>
    <row r="3" spans="2:15" ht="30" customHeight="1" x14ac:dyDescent="0.4">
      <c r="B3" s="5">
        <v>2020</v>
      </c>
      <c r="C3" s="14">
        <v>279340</v>
      </c>
      <c r="D3" s="14">
        <v>412000</v>
      </c>
      <c r="E3" s="14">
        <v>542068</v>
      </c>
      <c r="F3" s="14">
        <v>2535700</v>
      </c>
      <c r="G3" s="14">
        <v>386830</v>
      </c>
      <c r="H3" s="14">
        <v>339337</v>
      </c>
      <c r="I3" s="14">
        <v>525847</v>
      </c>
      <c r="J3" s="14">
        <v>447000</v>
      </c>
      <c r="K3" s="14">
        <v>336412</v>
      </c>
      <c r="L3" s="14">
        <v>1131072</v>
      </c>
      <c r="M3" s="14">
        <v>450713</v>
      </c>
      <c r="N3" s="14">
        <v>336201</v>
      </c>
      <c r="O3" s="14">
        <f>SUM(C3:N3)</f>
        <v>7722520</v>
      </c>
    </row>
    <row r="4" spans="2:15" ht="30" customHeight="1" x14ac:dyDescent="0.4">
      <c r="B4" s="5">
        <v>2021</v>
      </c>
      <c r="C4" s="14">
        <v>345663</v>
      </c>
      <c r="D4" s="14">
        <v>2541178</v>
      </c>
      <c r="E4" s="14">
        <v>400347</v>
      </c>
      <c r="F4" s="14">
        <v>355926</v>
      </c>
      <c r="G4" s="14">
        <v>530521</v>
      </c>
      <c r="H4" s="14">
        <v>502979</v>
      </c>
      <c r="I4" s="14">
        <v>507079</v>
      </c>
      <c r="J4" s="14">
        <v>703726</v>
      </c>
      <c r="K4" s="14">
        <v>1051822</v>
      </c>
      <c r="L4" s="14">
        <v>1035528</v>
      </c>
      <c r="M4" s="14">
        <v>705959</v>
      </c>
      <c r="N4" s="14">
        <v>761173</v>
      </c>
      <c r="O4" s="14">
        <f>SUM(C4:N4)</f>
        <v>9441901</v>
      </c>
    </row>
    <row r="5" spans="2:15" ht="30" customHeight="1" x14ac:dyDescent="0.4">
      <c r="B5" s="5">
        <v>2022</v>
      </c>
      <c r="C5" s="14">
        <v>537203</v>
      </c>
      <c r="D5" s="14">
        <v>872165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>
        <f>SUM(C5:N5)</f>
        <v>1409368</v>
      </c>
    </row>
  </sheetData>
  <mergeCells count="1">
    <mergeCell ref="B1:O1"/>
  </mergeCells>
  <phoneticPr fontId="1"/>
  <pageMargins left="0.7" right="0.7" top="0.75" bottom="0.75" header="0.3" footer="0.3"/>
  <pageSetup paperSize="9" scale="6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CC95-767C-4727-B3D8-845F227E4DF0}">
  <sheetPr>
    <pageSetUpPr fitToPage="1"/>
  </sheetPr>
  <dimension ref="A1:I14"/>
  <sheetViews>
    <sheetView topLeftCell="A10" workbookViewId="0">
      <selection activeCell="D14" sqref="D14"/>
    </sheetView>
  </sheetViews>
  <sheetFormatPr defaultRowHeight="18.75" x14ac:dyDescent="0.4"/>
  <cols>
    <col min="1" max="1" width="5.625" style="2" customWidth="1"/>
    <col min="2" max="8" width="30.625" customWidth="1"/>
    <col min="9" max="16" width="24.625" customWidth="1"/>
  </cols>
  <sheetData>
    <row r="1" spans="1:9" s="2" customFormat="1" x14ac:dyDescent="0.4">
      <c r="A1" s="16" t="s">
        <v>38</v>
      </c>
      <c r="B1" s="16"/>
      <c r="C1" s="16"/>
      <c r="D1" s="16"/>
      <c r="E1" s="16"/>
      <c r="F1" s="16"/>
      <c r="G1" s="16"/>
      <c r="H1" s="16"/>
    </row>
    <row r="2" spans="1:9" s="2" customFormat="1" x14ac:dyDescent="0.4">
      <c r="A2" s="8"/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</row>
    <row r="3" spans="1:9" ht="75" customHeight="1" x14ac:dyDescent="0.4">
      <c r="A3" s="7" t="s">
        <v>0</v>
      </c>
      <c r="B3" s="3" t="s">
        <v>8</v>
      </c>
      <c r="C3" s="3" t="s">
        <v>9</v>
      </c>
      <c r="D3" s="3" t="s">
        <v>10</v>
      </c>
      <c r="E3" s="9" t="s">
        <v>32</v>
      </c>
      <c r="F3" s="4"/>
      <c r="G3" s="4"/>
      <c r="H3" s="4"/>
      <c r="I3" s="1"/>
    </row>
    <row r="4" spans="1:9" ht="75" customHeight="1" x14ac:dyDescent="0.4">
      <c r="A4" s="5" t="s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9" t="s">
        <v>33</v>
      </c>
      <c r="G4" s="4"/>
      <c r="H4" s="4"/>
      <c r="I4" s="1"/>
    </row>
    <row r="5" spans="1:9" ht="75" customHeight="1" x14ac:dyDescent="0.4">
      <c r="A5" s="5" t="s">
        <v>2</v>
      </c>
      <c r="B5" s="3" t="s">
        <v>15</v>
      </c>
      <c r="C5" s="3" t="s">
        <v>16</v>
      </c>
      <c r="D5" s="3" t="s">
        <v>17</v>
      </c>
      <c r="E5" s="4" t="s">
        <v>18</v>
      </c>
      <c r="F5" s="9" t="s">
        <v>34</v>
      </c>
      <c r="G5" s="4"/>
      <c r="H5" s="4"/>
      <c r="I5" s="1"/>
    </row>
    <row r="6" spans="1:9" ht="75" customHeight="1" x14ac:dyDescent="0.4">
      <c r="A6" s="5" t="s">
        <v>3</v>
      </c>
      <c r="B6" s="3" t="s">
        <v>19</v>
      </c>
      <c r="C6" s="3" t="s">
        <v>20</v>
      </c>
      <c r="D6" s="4" t="s">
        <v>21</v>
      </c>
      <c r="E6" s="4" t="s">
        <v>22</v>
      </c>
      <c r="F6" s="3" t="s">
        <v>7</v>
      </c>
      <c r="G6" s="9" t="s">
        <v>35</v>
      </c>
      <c r="H6" s="4"/>
      <c r="I6" s="1"/>
    </row>
    <row r="7" spans="1:9" ht="75" customHeight="1" x14ac:dyDescent="0.4">
      <c r="A7" s="5" t="s">
        <v>4</v>
      </c>
      <c r="B7" s="4" t="s">
        <v>23</v>
      </c>
      <c r="C7" s="3" t="s">
        <v>24</v>
      </c>
      <c r="D7" s="3" t="s">
        <v>25</v>
      </c>
      <c r="E7" s="3" t="s">
        <v>26</v>
      </c>
      <c r="F7" s="9" t="s">
        <v>36</v>
      </c>
      <c r="G7" s="4"/>
      <c r="H7" s="4"/>
      <c r="I7" s="1"/>
    </row>
    <row r="8" spans="1:9" ht="75" customHeight="1" x14ac:dyDescent="0.4">
      <c r="A8" s="5" t="s">
        <v>5</v>
      </c>
      <c r="B8" s="3" t="s">
        <v>27</v>
      </c>
      <c r="C8" s="4" t="s">
        <v>28</v>
      </c>
      <c r="D8" s="9" t="s">
        <v>37</v>
      </c>
      <c r="E8" s="4"/>
      <c r="F8" s="4"/>
      <c r="G8" s="4"/>
      <c r="H8" s="4"/>
      <c r="I8" s="1"/>
    </row>
    <row r="9" spans="1:9" ht="75" customHeight="1" x14ac:dyDescent="0.4">
      <c r="A9" s="5" t="s">
        <v>6</v>
      </c>
      <c r="B9" s="3" t="s">
        <v>29</v>
      </c>
      <c r="C9" s="3" t="s">
        <v>30</v>
      </c>
      <c r="D9" s="4" t="s">
        <v>31</v>
      </c>
      <c r="E9" s="9" t="s">
        <v>105</v>
      </c>
      <c r="F9" s="4"/>
      <c r="G9" s="4"/>
      <c r="H9" s="4"/>
      <c r="I9" s="1"/>
    </row>
    <row r="10" spans="1:9" ht="78" customHeight="1" x14ac:dyDescent="0.4">
      <c r="A10" s="5" t="s">
        <v>73</v>
      </c>
      <c r="B10" s="3" t="s">
        <v>106</v>
      </c>
      <c r="C10" s="3" t="s">
        <v>107</v>
      </c>
      <c r="D10" s="3" t="s">
        <v>108</v>
      </c>
      <c r="E10" s="9" t="s">
        <v>109</v>
      </c>
      <c r="F10" s="3"/>
      <c r="G10" s="4"/>
      <c r="H10" s="10"/>
    </row>
    <row r="11" spans="1:9" ht="75" x14ac:dyDescent="0.4">
      <c r="A11" s="5" t="s">
        <v>101</v>
      </c>
      <c r="B11" s="3" t="s">
        <v>110</v>
      </c>
      <c r="C11" s="3" t="s">
        <v>111</v>
      </c>
      <c r="D11" s="9" t="s">
        <v>112</v>
      </c>
      <c r="E11" s="3"/>
      <c r="F11" s="3"/>
      <c r="G11" s="4"/>
      <c r="H11" s="10"/>
    </row>
    <row r="12" spans="1:9" ht="75" x14ac:dyDescent="0.4">
      <c r="A12" s="5" t="s">
        <v>102</v>
      </c>
      <c r="B12" s="3" t="s">
        <v>113</v>
      </c>
      <c r="C12" s="3" t="s">
        <v>114</v>
      </c>
      <c r="D12" s="3" t="s">
        <v>115</v>
      </c>
      <c r="E12" s="3" t="s">
        <v>116</v>
      </c>
      <c r="F12" s="3" t="s">
        <v>117</v>
      </c>
      <c r="G12" s="9" t="s">
        <v>118</v>
      </c>
      <c r="H12" s="10"/>
    </row>
    <row r="13" spans="1:9" ht="93.75" x14ac:dyDescent="0.4">
      <c r="A13" s="5" t="s">
        <v>103</v>
      </c>
      <c r="B13" s="3" t="s">
        <v>119</v>
      </c>
      <c r="C13" s="3" t="s">
        <v>120</v>
      </c>
      <c r="D13" s="3" t="s">
        <v>121</v>
      </c>
      <c r="E13" s="3" t="s">
        <v>122</v>
      </c>
      <c r="F13" s="9" t="s">
        <v>123</v>
      </c>
      <c r="G13" s="9"/>
      <c r="H13" s="10"/>
    </row>
    <row r="14" spans="1:9" ht="75" x14ac:dyDescent="0.4">
      <c r="A14" s="5" t="s">
        <v>104</v>
      </c>
      <c r="B14" s="3" t="s">
        <v>124</v>
      </c>
      <c r="C14" s="3" t="s">
        <v>125</v>
      </c>
      <c r="D14" s="9" t="s">
        <v>126</v>
      </c>
      <c r="E14" s="3"/>
      <c r="F14" s="3"/>
      <c r="G14" s="4"/>
      <c r="H14" s="10"/>
    </row>
  </sheetData>
  <mergeCells count="1">
    <mergeCell ref="A1:H1"/>
  </mergeCells>
  <phoneticPr fontId="1"/>
  <pageMargins left="0.7" right="0.7" top="0.75" bottom="0.75" header="0.3" footer="0.3"/>
  <pageSetup paperSize="9" scale="51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3C7B-29A6-49E7-AFE8-099D50B8F5F6}">
  <sheetPr>
    <pageSetUpPr fitToPage="1"/>
  </sheetPr>
  <dimension ref="A1:I14"/>
  <sheetViews>
    <sheetView workbookViewId="0">
      <selection activeCell="A2" sqref="A2"/>
    </sheetView>
  </sheetViews>
  <sheetFormatPr defaultRowHeight="18.75" x14ac:dyDescent="0.4"/>
  <cols>
    <col min="1" max="1" width="5.625" style="2" customWidth="1"/>
    <col min="2" max="8" width="30.625" customWidth="1"/>
    <col min="9" max="16" width="24.625" customWidth="1"/>
  </cols>
  <sheetData>
    <row r="1" spans="1:9" s="2" customFormat="1" ht="19.5" thickBot="1" x14ac:dyDescent="0.45">
      <c r="A1" s="16" t="s">
        <v>135</v>
      </c>
      <c r="B1" s="16"/>
      <c r="C1" s="16"/>
      <c r="D1" s="16"/>
      <c r="E1" s="16"/>
      <c r="F1" s="16"/>
      <c r="G1" s="16"/>
      <c r="H1" s="16"/>
    </row>
    <row r="2" spans="1:9" s="2" customFormat="1" x14ac:dyDescent="0.4">
      <c r="A2" s="8"/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11" t="s">
        <v>44</v>
      </c>
      <c r="H2" s="13" t="s">
        <v>53</v>
      </c>
    </row>
    <row r="3" spans="1:9" ht="75" customHeight="1" x14ac:dyDescent="0.4">
      <c r="A3" s="7" t="s">
        <v>0</v>
      </c>
      <c r="B3" s="3" t="s">
        <v>47</v>
      </c>
      <c r="C3" s="3" t="s">
        <v>48</v>
      </c>
      <c r="D3" s="3"/>
      <c r="E3" s="3"/>
      <c r="F3" s="3"/>
      <c r="G3" s="6"/>
      <c r="H3" s="12" t="s">
        <v>49</v>
      </c>
      <c r="I3" s="1"/>
    </row>
    <row r="4" spans="1:9" ht="75" customHeight="1" x14ac:dyDescent="0.4">
      <c r="A4" s="5" t="s">
        <v>1</v>
      </c>
      <c r="B4" s="3" t="s">
        <v>50</v>
      </c>
      <c r="C4" s="3" t="s">
        <v>51</v>
      </c>
      <c r="D4" s="3"/>
      <c r="E4" s="3"/>
      <c r="F4" s="3"/>
      <c r="G4" s="6"/>
      <c r="H4" s="12" t="s">
        <v>52</v>
      </c>
      <c r="I4" s="1"/>
    </row>
    <row r="5" spans="1:9" ht="75" customHeight="1" x14ac:dyDescent="0.4">
      <c r="A5" s="5" t="s">
        <v>2</v>
      </c>
      <c r="B5" s="3" t="s">
        <v>54</v>
      </c>
      <c r="C5" s="3" t="s">
        <v>55</v>
      </c>
      <c r="D5" s="3" t="s">
        <v>56</v>
      </c>
      <c r="E5" s="3"/>
      <c r="F5" s="3"/>
      <c r="G5" s="6"/>
      <c r="H5" s="12" t="s">
        <v>59</v>
      </c>
      <c r="I5" s="1"/>
    </row>
    <row r="6" spans="1:9" ht="75" customHeight="1" x14ac:dyDescent="0.4">
      <c r="A6" s="5" t="s">
        <v>3</v>
      </c>
      <c r="B6" s="3" t="s">
        <v>57</v>
      </c>
      <c r="C6" s="3" t="s">
        <v>58</v>
      </c>
      <c r="D6" s="3"/>
      <c r="E6" s="3"/>
      <c r="F6" s="3"/>
      <c r="G6" s="6"/>
      <c r="H6" s="12" t="s">
        <v>60</v>
      </c>
      <c r="I6" s="1"/>
    </row>
    <row r="7" spans="1:9" ht="75" customHeight="1" x14ac:dyDescent="0.4">
      <c r="A7" s="5" t="s">
        <v>4</v>
      </c>
      <c r="B7" s="3" t="s">
        <v>61</v>
      </c>
      <c r="C7" s="3" t="s">
        <v>62</v>
      </c>
      <c r="D7" s="3" t="s">
        <v>63</v>
      </c>
      <c r="E7" s="3"/>
      <c r="F7" s="3"/>
      <c r="G7" s="6"/>
      <c r="H7" s="12" t="s">
        <v>64</v>
      </c>
      <c r="I7" s="1"/>
    </row>
    <row r="8" spans="1:9" ht="75" customHeight="1" x14ac:dyDescent="0.4">
      <c r="A8" s="5" t="s">
        <v>5</v>
      </c>
      <c r="B8" s="3" t="s">
        <v>65</v>
      </c>
      <c r="C8" s="3" t="s">
        <v>66</v>
      </c>
      <c r="D8" s="3" t="s">
        <v>67</v>
      </c>
      <c r="E8" s="3"/>
      <c r="F8" s="3"/>
      <c r="G8" s="6"/>
      <c r="H8" s="12" t="s">
        <v>71</v>
      </c>
      <c r="I8" s="1"/>
    </row>
    <row r="9" spans="1:9" ht="75" customHeight="1" x14ac:dyDescent="0.4">
      <c r="A9" s="5" t="s">
        <v>6</v>
      </c>
      <c r="B9" s="3" t="s">
        <v>68</v>
      </c>
      <c r="C9" s="3" t="s">
        <v>69</v>
      </c>
      <c r="D9" s="3" t="s">
        <v>70</v>
      </c>
      <c r="E9" s="3"/>
      <c r="F9" s="3"/>
      <c r="G9" s="6"/>
      <c r="H9" s="12" t="s">
        <v>72</v>
      </c>
      <c r="I9" s="1"/>
    </row>
    <row r="10" spans="1:9" ht="75" x14ac:dyDescent="0.4">
      <c r="A10" s="5" t="s">
        <v>73</v>
      </c>
      <c r="B10" s="3" t="s">
        <v>78</v>
      </c>
      <c r="C10" s="3" t="s">
        <v>79</v>
      </c>
      <c r="D10" s="3" t="s">
        <v>80</v>
      </c>
      <c r="E10" s="3"/>
      <c r="F10" s="3"/>
      <c r="G10" s="6"/>
      <c r="H10" s="12" t="s">
        <v>81</v>
      </c>
    </row>
    <row r="11" spans="1:9" ht="75" x14ac:dyDescent="0.4">
      <c r="A11" s="5" t="s">
        <v>74</v>
      </c>
      <c r="B11" s="3" t="s">
        <v>82</v>
      </c>
      <c r="C11" s="3" t="s">
        <v>83</v>
      </c>
      <c r="D11" s="3" t="s">
        <v>84</v>
      </c>
      <c r="E11" s="3" t="s">
        <v>85</v>
      </c>
      <c r="F11" s="3"/>
      <c r="G11" s="6"/>
      <c r="H11" s="12" t="s">
        <v>86</v>
      </c>
    </row>
    <row r="12" spans="1:9" ht="75" x14ac:dyDescent="0.4">
      <c r="A12" s="5" t="s">
        <v>75</v>
      </c>
      <c r="B12" s="3" t="s">
        <v>87</v>
      </c>
      <c r="C12" s="3" t="s">
        <v>88</v>
      </c>
      <c r="D12" s="3" t="s">
        <v>89</v>
      </c>
      <c r="E12" s="3" t="s">
        <v>90</v>
      </c>
      <c r="F12" s="3" t="s">
        <v>46</v>
      </c>
      <c r="G12" s="6" t="s">
        <v>46</v>
      </c>
      <c r="H12" s="12" t="s">
        <v>91</v>
      </c>
    </row>
    <row r="13" spans="1:9" ht="75" x14ac:dyDescent="0.4">
      <c r="A13" s="5" t="s">
        <v>76</v>
      </c>
      <c r="B13" s="3" t="s">
        <v>92</v>
      </c>
      <c r="C13" s="3" t="s">
        <v>93</v>
      </c>
      <c r="D13" s="3" t="s">
        <v>94</v>
      </c>
      <c r="E13" s="3" t="s">
        <v>46</v>
      </c>
      <c r="F13" s="3" t="s">
        <v>46</v>
      </c>
      <c r="G13" s="6" t="s">
        <v>46</v>
      </c>
      <c r="H13" s="12" t="s">
        <v>95</v>
      </c>
    </row>
    <row r="14" spans="1:9" ht="93.75" x14ac:dyDescent="0.4">
      <c r="A14" s="5" t="s">
        <v>77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46</v>
      </c>
      <c r="G14" s="6" t="s">
        <v>46</v>
      </c>
      <c r="H14" s="12" t="s">
        <v>100</v>
      </c>
    </row>
  </sheetData>
  <mergeCells count="1">
    <mergeCell ref="A1:H1"/>
  </mergeCells>
  <phoneticPr fontId="1"/>
  <pageMargins left="0.7" right="0.7" top="0.75" bottom="0.75" header="0.3" footer="0.3"/>
  <pageSetup paperSize="9" scale="51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4A32-E805-4C72-A338-7974063961B8}">
  <sheetPr>
    <pageSetUpPr fitToPage="1"/>
  </sheetPr>
  <dimension ref="A1:I14"/>
  <sheetViews>
    <sheetView workbookViewId="0">
      <selection activeCell="C13" sqref="C13"/>
    </sheetView>
  </sheetViews>
  <sheetFormatPr defaultRowHeight="18.75" x14ac:dyDescent="0.4"/>
  <cols>
    <col min="1" max="1" width="5.625" style="2" customWidth="1"/>
    <col min="2" max="8" width="30.625" customWidth="1"/>
    <col min="9" max="16" width="24.625" customWidth="1"/>
  </cols>
  <sheetData>
    <row r="1" spans="1:9" s="2" customFormat="1" ht="19.5" thickBot="1" x14ac:dyDescent="0.45">
      <c r="A1" s="16" t="s">
        <v>136</v>
      </c>
      <c r="B1" s="16"/>
      <c r="C1" s="16"/>
      <c r="D1" s="16"/>
      <c r="E1" s="16"/>
      <c r="F1" s="16"/>
      <c r="G1" s="16"/>
      <c r="H1" s="16"/>
    </row>
    <row r="2" spans="1:9" s="2" customFormat="1" x14ac:dyDescent="0.4">
      <c r="A2" s="8"/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11" t="s">
        <v>44</v>
      </c>
      <c r="H2" s="13" t="s">
        <v>53</v>
      </c>
    </row>
    <row r="3" spans="1:9" ht="75" customHeight="1" x14ac:dyDescent="0.4">
      <c r="A3" s="7" t="s">
        <v>0</v>
      </c>
      <c r="B3" s="3" t="s">
        <v>137</v>
      </c>
      <c r="C3" s="3" t="s">
        <v>140</v>
      </c>
      <c r="D3" s="3"/>
      <c r="E3" s="3"/>
      <c r="F3" s="3"/>
      <c r="G3" s="6"/>
      <c r="H3" s="12" t="s">
        <v>142</v>
      </c>
      <c r="I3" s="1"/>
    </row>
    <row r="4" spans="1:9" ht="75" customHeight="1" x14ac:dyDescent="0.4">
      <c r="A4" s="5" t="s">
        <v>1</v>
      </c>
      <c r="B4" s="3" t="s">
        <v>138</v>
      </c>
      <c r="C4" s="3" t="s">
        <v>139</v>
      </c>
      <c r="D4" s="3" t="s">
        <v>141</v>
      </c>
      <c r="E4" s="3" t="s">
        <v>46</v>
      </c>
      <c r="F4" s="3" t="s">
        <v>46</v>
      </c>
      <c r="G4" s="3" t="s">
        <v>46</v>
      </c>
      <c r="H4" s="12" t="s">
        <v>143</v>
      </c>
      <c r="I4" s="1"/>
    </row>
    <row r="5" spans="1:9" ht="75" customHeight="1" x14ac:dyDescent="0.4">
      <c r="A5" s="5" t="s">
        <v>2</v>
      </c>
      <c r="B5" s="3" t="s">
        <v>144</v>
      </c>
      <c r="C5" s="3" t="s">
        <v>46</v>
      </c>
      <c r="D5" s="3" t="s">
        <v>46</v>
      </c>
      <c r="E5" s="3" t="s">
        <v>46</v>
      </c>
      <c r="F5" s="3" t="s">
        <v>46</v>
      </c>
      <c r="G5" s="3" t="s">
        <v>46</v>
      </c>
      <c r="H5" s="12" t="s">
        <v>145</v>
      </c>
      <c r="I5" s="1"/>
    </row>
    <row r="6" spans="1:9" ht="75" customHeight="1" x14ac:dyDescent="0.4">
      <c r="A6" s="5" t="s">
        <v>3</v>
      </c>
      <c r="B6" s="3" t="s">
        <v>146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12" t="s">
        <v>147</v>
      </c>
      <c r="I6" s="1"/>
    </row>
    <row r="7" spans="1:9" ht="75" customHeight="1" x14ac:dyDescent="0.4">
      <c r="A7" s="5" t="s">
        <v>4</v>
      </c>
      <c r="B7" s="3" t="s">
        <v>148</v>
      </c>
      <c r="C7" s="3" t="s">
        <v>149</v>
      </c>
      <c r="D7" s="3" t="s">
        <v>46</v>
      </c>
      <c r="E7" s="3" t="s">
        <v>46</v>
      </c>
      <c r="F7" s="3" t="s">
        <v>46</v>
      </c>
      <c r="G7" s="3" t="s">
        <v>46</v>
      </c>
      <c r="H7" s="12" t="s">
        <v>150</v>
      </c>
      <c r="I7" s="1"/>
    </row>
    <row r="8" spans="1:9" ht="75" customHeight="1" x14ac:dyDescent="0.4">
      <c r="A8" s="5" t="s">
        <v>5</v>
      </c>
      <c r="B8" s="3" t="s">
        <v>151</v>
      </c>
      <c r="C8" s="3" t="s">
        <v>46</v>
      </c>
      <c r="D8" s="3" t="s">
        <v>46</v>
      </c>
      <c r="E8" s="3" t="s">
        <v>46</v>
      </c>
      <c r="F8" s="3" t="s">
        <v>46</v>
      </c>
      <c r="G8" s="3" t="s">
        <v>46</v>
      </c>
      <c r="H8" s="12" t="s">
        <v>152</v>
      </c>
      <c r="I8" s="1"/>
    </row>
    <row r="9" spans="1:9" ht="75" customHeight="1" x14ac:dyDescent="0.4">
      <c r="A9" s="5" t="s">
        <v>6</v>
      </c>
      <c r="B9" s="3" t="s">
        <v>153</v>
      </c>
      <c r="C9" s="3" t="s">
        <v>46</v>
      </c>
      <c r="D9" s="3" t="s">
        <v>46</v>
      </c>
      <c r="E9" s="3" t="s">
        <v>46</v>
      </c>
      <c r="F9" s="3" t="s">
        <v>46</v>
      </c>
      <c r="G9" s="3" t="s">
        <v>46</v>
      </c>
      <c r="H9" s="12" t="s">
        <v>154</v>
      </c>
      <c r="I9" s="1"/>
    </row>
    <row r="10" spans="1:9" ht="75" x14ac:dyDescent="0.4">
      <c r="A10" s="5" t="s">
        <v>73</v>
      </c>
      <c r="B10" s="3" t="s">
        <v>155</v>
      </c>
      <c r="C10" s="3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12" t="s">
        <v>156</v>
      </c>
    </row>
    <row r="11" spans="1:9" ht="75" x14ac:dyDescent="0.4">
      <c r="A11" s="5" t="s">
        <v>74</v>
      </c>
      <c r="B11" s="3" t="s">
        <v>157</v>
      </c>
      <c r="C11" s="3" t="s">
        <v>46</v>
      </c>
      <c r="D11" s="3" t="s">
        <v>46</v>
      </c>
      <c r="E11" s="3" t="s">
        <v>46</v>
      </c>
      <c r="F11" s="3" t="s">
        <v>46</v>
      </c>
      <c r="G11" s="3" t="s">
        <v>46</v>
      </c>
      <c r="H11" s="12" t="s">
        <v>158</v>
      </c>
    </row>
    <row r="12" spans="1:9" ht="75" x14ac:dyDescent="0.4">
      <c r="A12" s="5" t="s">
        <v>75</v>
      </c>
      <c r="B12" s="3" t="s">
        <v>159</v>
      </c>
      <c r="C12" s="3" t="s">
        <v>46</v>
      </c>
      <c r="D12" s="3" t="s">
        <v>46</v>
      </c>
      <c r="E12" s="3" t="s">
        <v>46</v>
      </c>
      <c r="F12" s="3" t="s">
        <v>46</v>
      </c>
      <c r="G12" s="3" t="s">
        <v>46</v>
      </c>
      <c r="H12" s="12" t="s">
        <v>160</v>
      </c>
    </row>
    <row r="13" spans="1:9" ht="75" x14ac:dyDescent="0.4">
      <c r="A13" s="5" t="s">
        <v>76</v>
      </c>
      <c r="B13" s="3" t="s">
        <v>161</v>
      </c>
      <c r="C13" s="3" t="s">
        <v>46</v>
      </c>
      <c r="D13" s="3" t="s">
        <v>46</v>
      </c>
      <c r="E13" s="3" t="s">
        <v>46</v>
      </c>
      <c r="F13" s="3" t="s">
        <v>46</v>
      </c>
      <c r="G13" s="3" t="s">
        <v>46</v>
      </c>
      <c r="H13" s="12" t="s">
        <v>162</v>
      </c>
    </row>
    <row r="14" spans="1:9" ht="75" x14ac:dyDescent="0.4">
      <c r="A14" s="5" t="s">
        <v>77</v>
      </c>
      <c r="B14" s="3" t="s">
        <v>163</v>
      </c>
      <c r="C14" s="3" t="s">
        <v>46</v>
      </c>
      <c r="D14" s="3" t="s">
        <v>46</v>
      </c>
      <c r="E14" s="3" t="s">
        <v>46</v>
      </c>
      <c r="F14" s="3" t="s">
        <v>46</v>
      </c>
      <c r="G14" s="3" t="s">
        <v>46</v>
      </c>
      <c r="H14" s="12" t="s">
        <v>164</v>
      </c>
    </row>
  </sheetData>
  <mergeCells count="1">
    <mergeCell ref="A1:H1"/>
  </mergeCells>
  <phoneticPr fontId="1"/>
  <pageMargins left="0.7" right="0.7" top="0.75" bottom="0.75" header="0.3" footer="0.3"/>
  <pageSetup paperSize="9" scale="52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9789-9890-4D88-878A-58A454945632}">
  <sheetPr>
    <pageSetUpPr fitToPage="1"/>
  </sheetPr>
  <dimension ref="A1:I14"/>
  <sheetViews>
    <sheetView workbookViewId="0">
      <selection sqref="A1:XFD1048576"/>
    </sheetView>
  </sheetViews>
  <sheetFormatPr defaultRowHeight="18.75" x14ac:dyDescent="0.4"/>
  <cols>
    <col min="1" max="1" width="5.625" style="2" customWidth="1"/>
    <col min="2" max="8" width="30.625" customWidth="1"/>
    <col min="9" max="16" width="24.625" customWidth="1"/>
  </cols>
  <sheetData>
    <row r="1" spans="1:9" s="2" customFormat="1" ht="19.5" thickBot="1" x14ac:dyDescent="0.45">
      <c r="A1" s="16" t="s">
        <v>191</v>
      </c>
      <c r="B1" s="16"/>
      <c r="C1" s="16"/>
      <c r="D1" s="16"/>
      <c r="E1" s="16"/>
      <c r="F1" s="16"/>
      <c r="G1" s="16"/>
      <c r="H1" s="16"/>
    </row>
    <row r="2" spans="1:9" s="2" customFormat="1" x14ac:dyDescent="0.4">
      <c r="A2" s="8"/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11" t="s">
        <v>44</v>
      </c>
      <c r="H2" s="13" t="s">
        <v>53</v>
      </c>
    </row>
    <row r="3" spans="1:9" ht="75" customHeight="1" x14ac:dyDescent="0.4">
      <c r="A3" s="7" t="s">
        <v>0</v>
      </c>
      <c r="B3" s="3" t="s">
        <v>165</v>
      </c>
      <c r="C3" s="3" t="s">
        <v>46</v>
      </c>
      <c r="D3" s="3"/>
      <c r="E3" s="3"/>
      <c r="F3" s="3"/>
      <c r="G3" s="6"/>
      <c r="H3" s="12" t="s">
        <v>170</v>
      </c>
      <c r="I3" s="1"/>
    </row>
    <row r="4" spans="1:9" ht="75" customHeight="1" x14ac:dyDescent="0.4">
      <c r="A4" s="5" t="s">
        <v>1</v>
      </c>
      <c r="B4" s="3" t="s">
        <v>166</v>
      </c>
      <c r="C4" s="3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12" t="s">
        <v>171</v>
      </c>
      <c r="I4" s="1"/>
    </row>
    <row r="5" spans="1:9" ht="75" customHeight="1" x14ac:dyDescent="0.4">
      <c r="A5" s="5" t="s">
        <v>2</v>
      </c>
      <c r="B5" s="3" t="s">
        <v>167</v>
      </c>
      <c r="C5" s="3" t="s">
        <v>168</v>
      </c>
      <c r="D5" s="3" t="s">
        <v>46</v>
      </c>
      <c r="E5" s="3" t="s">
        <v>46</v>
      </c>
      <c r="F5" s="3" t="s">
        <v>46</v>
      </c>
      <c r="G5" s="3" t="s">
        <v>46</v>
      </c>
      <c r="H5" s="12" t="s">
        <v>172</v>
      </c>
      <c r="I5" s="1"/>
    </row>
    <row r="6" spans="1:9" ht="75" customHeight="1" x14ac:dyDescent="0.4">
      <c r="A6" s="5" t="s">
        <v>3</v>
      </c>
      <c r="B6" s="3" t="s">
        <v>169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12" t="s">
        <v>173</v>
      </c>
      <c r="I6" s="1"/>
    </row>
    <row r="7" spans="1:9" ht="75" customHeight="1" x14ac:dyDescent="0.4">
      <c r="A7" s="5" t="s">
        <v>4</v>
      </c>
      <c r="B7" s="3" t="s">
        <v>174</v>
      </c>
      <c r="C7" s="3" t="s">
        <v>46</v>
      </c>
      <c r="D7" s="3" t="s">
        <v>46</v>
      </c>
      <c r="E7" s="3" t="s">
        <v>46</v>
      </c>
      <c r="F7" s="3" t="s">
        <v>46</v>
      </c>
      <c r="G7" s="3" t="s">
        <v>46</v>
      </c>
      <c r="H7" s="12" t="s">
        <v>175</v>
      </c>
      <c r="I7" s="1"/>
    </row>
    <row r="8" spans="1:9" ht="75" customHeight="1" x14ac:dyDescent="0.4">
      <c r="A8" s="5" t="s">
        <v>5</v>
      </c>
      <c r="B8" s="3" t="s">
        <v>177</v>
      </c>
      <c r="C8" s="3" t="s">
        <v>46</v>
      </c>
      <c r="D8" s="3" t="s">
        <v>46</v>
      </c>
      <c r="E8" s="3" t="s">
        <v>46</v>
      </c>
      <c r="F8" s="3" t="s">
        <v>46</v>
      </c>
      <c r="G8" s="3" t="s">
        <v>46</v>
      </c>
      <c r="H8" s="12" t="s">
        <v>176</v>
      </c>
      <c r="I8" s="1"/>
    </row>
    <row r="9" spans="1:9" ht="75" customHeight="1" x14ac:dyDescent="0.4">
      <c r="A9" s="5" t="s">
        <v>6</v>
      </c>
      <c r="B9" s="3" t="s">
        <v>179</v>
      </c>
      <c r="C9" s="3" t="s">
        <v>46</v>
      </c>
      <c r="D9" s="3" t="s">
        <v>46</v>
      </c>
      <c r="E9" s="3" t="s">
        <v>46</v>
      </c>
      <c r="F9" s="3" t="s">
        <v>46</v>
      </c>
      <c r="G9" s="3" t="s">
        <v>46</v>
      </c>
      <c r="H9" s="12" t="s">
        <v>178</v>
      </c>
      <c r="I9" s="1"/>
    </row>
    <row r="10" spans="1:9" ht="75" x14ac:dyDescent="0.4">
      <c r="A10" s="5" t="s">
        <v>73</v>
      </c>
      <c r="B10" s="3" t="s">
        <v>181</v>
      </c>
      <c r="C10" s="3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12" t="s">
        <v>180</v>
      </c>
    </row>
    <row r="11" spans="1:9" ht="75" x14ac:dyDescent="0.4">
      <c r="A11" s="5" t="s">
        <v>74</v>
      </c>
      <c r="B11" s="3" t="s">
        <v>183</v>
      </c>
      <c r="C11" s="3" t="s">
        <v>46</v>
      </c>
      <c r="D11" s="3" t="s">
        <v>46</v>
      </c>
      <c r="E11" s="3" t="s">
        <v>46</v>
      </c>
      <c r="F11" s="3" t="s">
        <v>46</v>
      </c>
      <c r="G11" s="3" t="s">
        <v>46</v>
      </c>
      <c r="H11" s="12" t="s">
        <v>182</v>
      </c>
    </row>
    <row r="12" spans="1:9" ht="75" x14ac:dyDescent="0.4">
      <c r="A12" s="5" t="s">
        <v>75</v>
      </c>
      <c r="B12" s="3" t="s">
        <v>184</v>
      </c>
      <c r="C12" s="3" t="s">
        <v>46</v>
      </c>
      <c r="D12" s="3" t="s">
        <v>46</v>
      </c>
      <c r="E12" s="3" t="s">
        <v>46</v>
      </c>
      <c r="F12" s="3" t="s">
        <v>46</v>
      </c>
      <c r="G12" s="3" t="s">
        <v>46</v>
      </c>
      <c r="H12" s="12" t="s">
        <v>185</v>
      </c>
    </row>
    <row r="13" spans="1:9" ht="75" x14ac:dyDescent="0.4">
      <c r="A13" s="5" t="s">
        <v>76</v>
      </c>
      <c r="B13" s="3" t="s">
        <v>187</v>
      </c>
      <c r="C13" s="3" t="s">
        <v>46</v>
      </c>
      <c r="D13" s="3" t="s">
        <v>46</v>
      </c>
      <c r="E13" s="3" t="s">
        <v>46</v>
      </c>
      <c r="F13" s="3" t="s">
        <v>46</v>
      </c>
      <c r="G13" s="3" t="s">
        <v>46</v>
      </c>
      <c r="H13" s="12" t="s">
        <v>186</v>
      </c>
    </row>
    <row r="14" spans="1:9" ht="75" x14ac:dyDescent="0.4">
      <c r="A14" s="5" t="s">
        <v>77</v>
      </c>
      <c r="B14" s="3" t="s">
        <v>188</v>
      </c>
      <c r="C14" s="3" t="s">
        <v>189</v>
      </c>
      <c r="D14" s="3" t="s">
        <v>46</v>
      </c>
      <c r="E14" s="3" t="s">
        <v>46</v>
      </c>
      <c r="F14" s="3" t="s">
        <v>46</v>
      </c>
      <c r="G14" s="3" t="s">
        <v>46</v>
      </c>
      <c r="H14" s="12" t="s">
        <v>190</v>
      </c>
    </row>
  </sheetData>
  <mergeCells count="1">
    <mergeCell ref="A1:H1"/>
  </mergeCells>
  <phoneticPr fontId="1"/>
  <pageMargins left="0.7" right="0.7" top="0.75" bottom="0.75" header="0.3" footer="0.3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C5D0-CD30-4412-9886-743B9CF344AF}">
  <dimension ref="A1:I14"/>
  <sheetViews>
    <sheetView tabSelected="1" workbookViewId="0">
      <selection activeCell="C4" sqref="C4"/>
    </sheetView>
  </sheetViews>
  <sheetFormatPr defaultRowHeight="18.75" x14ac:dyDescent="0.4"/>
  <cols>
    <col min="1" max="1" width="5.625" style="2" customWidth="1"/>
    <col min="2" max="8" width="30.625" customWidth="1"/>
    <col min="9" max="16" width="24.625" customWidth="1"/>
  </cols>
  <sheetData>
    <row r="1" spans="1:9" s="2" customFormat="1" ht="19.5" thickBot="1" x14ac:dyDescent="0.45">
      <c r="A1" s="16" t="s">
        <v>192</v>
      </c>
      <c r="B1" s="16"/>
      <c r="C1" s="16"/>
      <c r="D1" s="16"/>
      <c r="E1" s="16"/>
      <c r="F1" s="16"/>
      <c r="G1" s="16"/>
      <c r="H1" s="16"/>
    </row>
    <row r="2" spans="1:9" s="2" customFormat="1" x14ac:dyDescent="0.4">
      <c r="A2" s="8"/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11" t="s">
        <v>44</v>
      </c>
      <c r="H2" s="13" t="s">
        <v>53</v>
      </c>
    </row>
    <row r="3" spans="1:9" ht="75" customHeight="1" x14ac:dyDescent="0.4">
      <c r="A3" s="7" t="s">
        <v>0</v>
      </c>
      <c r="B3" s="3" t="s">
        <v>193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12" t="s">
        <v>196</v>
      </c>
      <c r="I3" s="1"/>
    </row>
    <row r="4" spans="1:9" ht="75" customHeight="1" x14ac:dyDescent="0.4">
      <c r="A4" s="5" t="s">
        <v>1</v>
      </c>
      <c r="B4" s="3" t="s">
        <v>194</v>
      </c>
      <c r="C4" s="3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12" t="s">
        <v>197</v>
      </c>
      <c r="I4" s="1"/>
    </row>
    <row r="5" spans="1:9" ht="75" customHeight="1" x14ac:dyDescent="0.4">
      <c r="A5" s="5" t="s">
        <v>2</v>
      </c>
      <c r="B5" s="3" t="s">
        <v>195</v>
      </c>
      <c r="C5" s="3" t="s">
        <v>46</v>
      </c>
      <c r="D5" s="3" t="s">
        <v>46</v>
      </c>
      <c r="E5" s="3" t="s">
        <v>46</v>
      </c>
      <c r="F5" s="3" t="s">
        <v>46</v>
      </c>
      <c r="G5" s="3" t="s">
        <v>46</v>
      </c>
      <c r="H5" s="12" t="s">
        <v>198</v>
      </c>
      <c r="I5" s="1"/>
    </row>
    <row r="6" spans="1:9" ht="75" customHeight="1" x14ac:dyDescent="0.4">
      <c r="A6" s="5" t="s">
        <v>3</v>
      </c>
      <c r="B6" s="3" t="s">
        <v>199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12" t="s">
        <v>200</v>
      </c>
      <c r="I6" s="1"/>
    </row>
    <row r="7" spans="1:9" ht="75" customHeight="1" x14ac:dyDescent="0.4">
      <c r="A7" s="5" t="s">
        <v>4</v>
      </c>
      <c r="B7" s="3" t="s">
        <v>201</v>
      </c>
      <c r="C7" s="3" t="s">
        <v>46</v>
      </c>
      <c r="D7" s="3" t="s">
        <v>46</v>
      </c>
      <c r="E7" s="3" t="s">
        <v>46</v>
      </c>
      <c r="F7" s="3" t="s">
        <v>46</v>
      </c>
      <c r="G7" s="3" t="s">
        <v>46</v>
      </c>
      <c r="H7" s="12" t="s">
        <v>202</v>
      </c>
      <c r="I7" s="1"/>
    </row>
    <row r="8" spans="1:9" ht="75" customHeight="1" x14ac:dyDescent="0.4">
      <c r="A8" s="5" t="s">
        <v>5</v>
      </c>
      <c r="B8" s="3" t="s">
        <v>203</v>
      </c>
      <c r="C8" s="3" t="s">
        <v>46</v>
      </c>
      <c r="D8" s="3" t="s">
        <v>46</v>
      </c>
      <c r="E8" s="3" t="s">
        <v>46</v>
      </c>
      <c r="F8" s="3" t="s">
        <v>46</v>
      </c>
      <c r="G8" s="3" t="s">
        <v>46</v>
      </c>
      <c r="H8" s="12" t="s">
        <v>204</v>
      </c>
      <c r="I8" s="1"/>
    </row>
    <row r="9" spans="1:9" ht="75" customHeight="1" x14ac:dyDescent="0.4">
      <c r="A9" s="5" t="s">
        <v>6</v>
      </c>
      <c r="B9" s="3" t="s">
        <v>205</v>
      </c>
      <c r="C9" s="3" t="s">
        <v>46</v>
      </c>
      <c r="D9" s="3" t="s">
        <v>46</v>
      </c>
      <c r="E9" s="3" t="s">
        <v>46</v>
      </c>
      <c r="F9" s="3" t="s">
        <v>46</v>
      </c>
      <c r="G9" s="3" t="s">
        <v>46</v>
      </c>
      <c r="H9" s="12" t="s">
        <v>206</v>
      </c>
      <c r="I9" s="1"/>
    </row>
    <row r="10" spans="1:9" ht="75" x14ac:dyDescent="0.4">
      <c r="A10" s="5" t="s">
        <v>73</v>
      </c>
      <c r="B10" s="3" t="s">
        <v>207</v>
      </c>
      <c r="C10" s="3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12" t="s">
        <v>208</v>
      </c>
    </row>
    <row r="11" spans="1:9" ht="75" x14ac:dyDescent="0.4">
      <c r="A11" s="5" t="s">
        <v>74</v>
      </c>
      <c r="B11" s="3" t="s">
        <v>209</v>
      </c>
      <c r="C11" s="3" t="s">
        <v>46</v>
      </c>
      <c r="D11" s="3" t="s">
        <v>46</v>
      </c>
      <c r="E11" s="3" t="s">
        <v>46</v>
      </c>
      <c r="F11" s="3" t="s">
        <v>46</v>
      </c>
      <c r="G11" s="3" t="s">
        <v>46</v>
      </c>
      <c r="H11" s="12" t="s">
        <v>210</v>
      </c>
    </row>
    <row r="12" spans="1:9" ht="75" x14ac:dyDescent="0.4">
      <c r="A12" s="5" t="s">
        <v>75</v>
      </c>
      <c r="B12" s="3" t="s">
        <v>211</v>
      </c>
      <c r="C12" s="3" t="s">
        <v>46</v>
      </c>
      <c r="D12" s="3" t="s">
        <v>46</v>
      </c>
      <c r="E12" s="3" t="s">
        <v>46</v>
      </c>
      <c r="F12" s="3" t="s">
        <v>46</v>
      </c>
      <c r="G12" s="3" t="s">
        <v>46</v>
      </c>
      <c r="H12" s="12" t="s">
        <v>212</v>
      </c>
    </row>
    <row r="13" spans="1:9" ht="75" x14ac:dyDescent="0.4">
      <c r="A13" s="5" t="s">
        <v>76</v>
      </c>
      <c r="B13" s="3" t="s">
        <v>213</v>
      </c>
      <c r="C13" s="3" t="s">
        <v>46</v>
      </c>
      <c r="D13" s="3" t="s">
        <v>46</v>
      </c>
      <c r="E13" s="3" t="s">
        <v>46</v>
      </c>
      <c r="F13" s="3" t="s">
        <v>46</v>
      </c>
      <c r="G13" s="3" t="s">
        <v>46</v>
      </c>
      <c r="H13" s="12" t="s">
        <v>214</v>
      </c>
    </row>
    <row r="14" spans="1:9" ht="75" x14ac:dyDescent="0.4">
      <c r="A14" s="5" t="s">
        <v>77</v>
      </c>
      <c r="B14" s="3" t="s">
        <v>215</v>
      </c>
      <c r="C14" s="3" t="s">
        <v>216</v>
      </c>
      <c r="D14" s="3" t="s">
        <v>46</v>
      </c>
      <c r="E14" s="3" t="s">
        <v>46</v>
      </c>
      <c r="F14" s="3" t="s">
        <v>46</v>
      </c>
      <c r="G14" s="3" t="s">
        <v>46</v>
      </c>
      <c r="H14" s="12" t="s">
        <v>217</v>
      </c>
    </row>
  </sheetData>
  <mergeCells count="1"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一覧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小沢宗弘</dc:creator>
  <cp:lastModifiedBy>Munehiro Ozawa</cp:lastModifiedBy>
  <cp:lastPrinted>2023-11-06T12:29:10Z</cp:lastPrinted>
  <dcterms:created xsi:type="dcterms:W3CDTF">2020-10-02T01:46:38Z</dcterms:created>
  <dcterms:modified xsi:type="dcterms:W3CDTF">2025-03-27T06:00:16Z</dcterms:modified>
</cp:coreProperties>
</file>